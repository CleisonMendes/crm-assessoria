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EEE8C995-6D9C-4424-B49D-6621B56B6678}" xr6:coauthVersionLast="47" xr6:coauthVersionMax="47" xr10:uidLastSave="{00000000-0000-0000-0000-000000000000}"/>
  <bookViews>
    <workbookView xWindow="-120" yWindow="-120" windowWidth="29040" windowHeight="15720" firstSheet="2" activeTab="5" xr2:uid="{714230DB-7BCA-461C-AA51-38B4394743C5}"/>
  </bookViews>
  <sheets>
    <sheet name="Processo" sheetId="9" state="hidden" r:id="rId1"/>
    <sheet name="0. Árvore de Alavancas" sheetId="10" r:id="rId2"/>
    <sheet name="1. Plano Comercial" sheetId="4" r:id="rId3"/>
    <sheet name="Resumo" sheetId="3" state="hidden" r:id="rId4"/>
    <sheet name="2. Planos de Ação" sheetId="7" r:id="rId5"/>
    <sheet name="3. Reunião 1-1 Acompanhamento" sheetId="1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O11" i="7"/>
  <c r="S27" i="4" l="1"/>
  <c r="H73" i="1"/>
  <c r="H72" i="1"/>
  <c r="H70" i="1"/>
  <c r="H71" i="1"/>
  <c r="H69" i="1"/>
  <c r="H67" i="1"/>
  <c r="M67" i="1" s="1"/>
  <c r="H65" i="1"/>
  <c r="S35" i="4" l="1"/>
  <c r="S33" i="4"/>
  <c r="S37" i="4"/>
  <c r="S38" i="4" s="1"/>
  <c r="S31" i="4"/>
  <c r="N30" i="4"/>
  <c r="S53" i="4"/>
  <c r="S54" i="4" s="1"/>
  <c r="S49" i="4"/>
  <c r="D28" i="4"/>
  <c r="P11" i="7" l="1"/>
  <c r="Q11" i="7" s="1"/>
  <c r="D18" i="4" l="1"/>
  <c r="S13" i="7"/>
  <c r="T13" i="7" s="1"/>
  <c r="O12" i="7"/>
  <c r="P12" i="7" s="1"/>
  <c r="Q12" i="7" s="1"/>
  <c r="D15" i="4"/>
  <c r="D12" i="4"/>
  <c r="K60" i="4"/>
  <c r="H58" i="4"/>
  <c r="I58" i="4"/>
  <c r="I59" i="4" s="1"/>
  <c r="J57" i="4" l="1"/>
  <c r="K57" i="4" s="1"/>
  <c r="J53" i="4"/>
  <c r="K53" i="4" s="1"/>
  <c r="J55" i="4"/>
  <c r="K55" i="4" s="1"/>
  <c r="J56" i="4"/>
  <c r="K56" i="4" s="1"/>
  <c r="J50" i="4"/>
  <c r="K50" i="4" s="1"/>
  <c r="J49" i="4"/>
  <c r="J51" i="4"/>
  <c r="K51" i="4" s="1"/>
  <c r="J52" i="4"/>
  <c r="K52" i="4" s="1"/>
  <c r="J54" i="4"/>
  <c r="K54" i="4" s="1"/>
  <c r="O19" i="7"/>
  <c r="P19" i="7"/>
  <c r="Q19" i="7"/>
  <c r="S19" i="7"/>
  <c r="T19" i="7"/>
  <c r="K18" i="7"/>
  <c r="M18" i="7" s="1"/>
  <c r="K17" i="7"/>
  <c r="M17" i="7" s="1"/>
  <c r="I10" i="1"/>
  <c r="D32" i="4"/>
  <c r="C11" i="1"/>
  <c r="J58" i="4" l="1"/>
  <c r="K49" i="4"/>
  <c r="K58" i="4" s="1"/>
  <c r="C12" i="1"/>
  <c r="C29" i="7"/>
  <c r="D16" i="4"/>
  <c r="AF79" i="9"/>
  <c r="AF71" i="9"/>
  <c r="AF63" i="9"/>
  <c r="AF55" i="9"/>
  <c r="AF47" i="9"/>
  <c r="D79" i="9"/>
  <c r="D71" i="9"/>
  <c r="D63" i="9"/>
  <c r="D55" i="9"/>
  <c r="D47" i="9"/>
  <c r="D39" i="9"/>
  <c r="D30" i="4" l="1"/>
  <c r="D33" i="4" s="1"/>
  <c r="D29" i="4"/>
  <c r="K59" i="4"/>
  <c r="K61" i="4" s="1"/>
  <c r="D13" i="4"/>
  <c r="S48" i="4" s="1"/>
  <c r="N40" i="4" s="1"/>
  <c r="S46" i="4" l="1"/>
  <c r="N43" i="4"/>
  <c r="N32" i="4"/>
  <c r="C40" i="7"/>
  <c r="C42" i="7"/>
  <c r="C31" i="7"/>
  <c r="C10" i="1"/>
  <c r="K12" i="7"/>
  <c r="M12" i="7" s="1"/>
  <c r="K13" i="7"/>
  <c r="M13" i="7" s="1"/>
  <c r="K14" i="7"/>
  <c r="M14" i="7" s="1"/>
  <c r="K15" i="7"/>
  <c r="M15" i="7" s="1"/>
  <c r="K16" i="7"/>
  <c r="M16" i="7" s="1"/>
  <c r="K10" i="7"/>
  <c r="M10" i="7" s="1"/>
  <c r="I19" i="7"/>
  <c r="C44" i="7" l="1"/>
  <c r="N45" i="4"/>
  <c r="H31" i="1"/>
  <c r="H19" i="1"/>
  <c r="M19" i="1" s="1"/>
  <c r="H55" i="1"/>
  <c r="H17" i="1"/>
  <c r="H29" i="1" s="1"/>
  <c r="H41" i="1" s="1"/>
  <c r="H53" i="1" s="1"/>
  <c r="M65" i="1" s="1"/>
  <c r="H43" i="1"/>
  <c r="K19" i="7"/>
  <c r="M19" i="7"/>
  <c r="N17" i="7" l="1"/>
  <c r="N18" i="7"/>
  <c r="N10" i="7"/>
  <c r="N15" i="7"/>
  <c r="N16" i="7"/>
  <c r="N14" i="7"/>
  <c r="N12" i="7"/>
  <c r="N13" i="7"/>
  <c r="M31" i="1"/>
  <c r="M55" i="1"/>
  <c r="M43" i="1"/>
  <c r="D34" i="4"/>
  <c r="M17" i="1" l="1"/>
  <c r="S25" i="4"/>
  <c r="S26" i="4" s="1"/>
  <c r="S47" i="4"/>
  <c r="S56" i="4"/>
  <c r="M29" i="1"/>
  <c r="M53" i="1"/>
  <c r="N19" i="7"/>
  <c r="S57" i="4" l="1"/>
  <c r="S55" i="4" s="1"/>
  <c r="N39" i="4" s="1"/>
  <c r="O39" i="4" s="1"/>
  <c r="P39" i="4" s="1"/>
  <c r="S39" i="4"/>
  <c r="S40" i="4" s="1"/>
  <c r="S36" i="4" s="1"/>
  <c r="S34" i="4" s="1"/>
  <c r="N29" i="4" s="1"/>
  <c r="O29" i="4" s="1"/>
  <c r="P29" i="4" s="1"/>
  <c r="M41" i="1"/>
  <c r="M28" i="3" l="1"/>
  <c r="H25" i="3" l="1"/>
  <c r="C28" i="7"/>
  <c r="S32" i="4"/>
  <c r="N28" i="4" s="1"/>
  <c r="O28" i="4" s="1"/>
  <c r="P28" i="4" s="1"/>
  <c r="Q20" i="7" l="1"/>
  <c r="H23" i="1"/>
  <c r="H35" i="1" s="1"/>
  <c r="H47" i="1" s="1"/>
  <c r="H59" i="1" s="1"/>
  <c r="C27" i="7"/>
  <c r="S29" i="4"/>
  <c r="M21" i="3"/>
  <c r="D28" i="7"/>
  <c r="E28" i="7" s="1"/>
  <c r="P20" i="7" l="1"/>
  <c r="H22" i="1"/>
  <c r="H34" i="1" s="1"/>
  <c r="H46" i="1" s="1"/>
  <c r="H58" i="1" s="1"/>
  <c r="S28" i="4"/>
  <c r="N27" i="4"/>
  <c r="O27" i="4" s="1"/>
  <c r="P27" i="4" s="1"/>
  <c r="C26" i="7"/>
  <c r="H21" i="1" s="1"/>
  <c r="H33" i="1" s="1"/>
  <c r="H45" i="1" s="1"/>
  <c r="H57" i="1" s="1"/>
  <c r="S30" i="4"/>
  <c r="S41" i="4"/>
  <c r="G18" i="3"/>
  <c r="M23" i="1" l="1"/>
  <c r="D27" i="7"/>
  <c r="E27" i="7" s="1"/>
  <c r="O20" i="7" l="1"/>
  <c r="M35" i="1"/>
  <c r="D26" i="7" l="1"/>
  <c r="E26" i="7" s="1"/>
  <c r="M22" i="1"/>
  <c r="M47" i="1"/>
  <c r="M59" i="1" l="1"/>
  <c r="M71" i="1"/>
  <c r="M21" i="1"/>
  <c r="M34" i="1"/>
  <c r="M45" i="1" l="1"/>
  <c r="M46" i="1"/>
  <c r="M58" i="1" l="1"/>
  <c r="M70" i="1"/>
  <c r="M33" i="1"/>
  <c r="C39" i="7"/>
  <c r="S50" i="4"/>
  <c r="K40" i="4" s="1"/>
  <c r="D39" i="7" l="1"/>
  <c r="E39" i="7" s="1"/>
  <c r="H25" i="1"/>
  <c r="H37" i="1" s="1"/>
  <c r="H49" i="1" s="1"/>
  <c r="H61" i="1" s="1"/>
  <c r="M57" i="1"/>
  <c r="M69" i="1"/>
  <c r="S51" i="4"/>
  <c r="N38" i="4" s="1"/>
  <c r="O38" i="4" s="1"/>
  <c r="P38" i="4" s="1"/>
  <c r="T20" i="7"/>
  <c r="M25" i="1" l="1"/>
  <c r="S58" i="4"/>
  <c r="C38" i="7"/>
  <c r="H24" i="1" s="1"/>
  <c r="H36" i="1" s="1"/>
  <c r="H48" i="1" s="1"/>
  <c r="H60" i="1" s="1"/>
  <c r="S52" i="4"/>
  <c r="M37" i="1"/>
  <c r="D38" i="7" l="1"/>
  <c r="E38" i="7" s="1"/>
  <c r="S20" i="7"/>
  <c r="M49" i="1"/>
  <c r="M24" i="1"/>
  <c r="M61" i="1" l="1"/>
  <c r="M73" i="1"/>
  <c r="M36" i="1"/>
  <c r="M48" i="1" l="1"/>
  <c r="M60" i="1" l="1"/>
  <c r="M7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Bianca Juliano</author>
  </authors>
  <commentList>
    <comment ref="G24" authorId="0" shapeId="0" xr:uid="{CCE9CDED-7A8F-47A7-858D-6353F61C0003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Se você não tem estes números % de conversão com precisão, simule números aproximados como ponto de partida, Quanto mais você tiver contato e acompanhamento destes números, mais precisos eles ficarão para a gestão do seu funil e atualização contantes do plano comercial.
</t>
        </r>
      </text>
    </comment>
    <comment ref="S27" authorId="0" shapeId="0" xr:uid="{5175B33C-EED8-420F-93B6-53A7AE53746B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Contas menores de R$ 300k  demandam um esforço muito grande para a formação de carteira, lembrando que idealmente, um (a) assessor (a) consegue atender bem até no máximo 150 clientes, com organização e uso de CRM</t>
        </r>
      </text>
    </comment>
    <comment ref="K29" authorId="0" shapeId="0" xr:uid="{4568A272-0B7B-46C5-9FAD-AE75D9AA7BF6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Contas menores de R$ 300k  demandam um esforço muito grande para a formação de carteira, lembrando que idealmente, um (a) assessor (a) consegue atender bem até no máximo 150 clientes, com organização e uso de CRM</t>
        </r>
      </text>
    </comment>
    <comment ref="G37" authorId="0" shapeId="0" xr:uid="{2AC4EEE0-B402-4CEB-8128-2041AAC5AEE3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Se você não tem estes números % de conversão com precisão, simule números aproximados como ponto de partida, Quanto mais você tiver contato e acompanhamento destes números, mais precisos eles ficarão para a gestão do 
seu funil e atualização contantes do plano comercial.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Bernardo Brum</author>
    <author>Bianca Juliano</author>
  </authors>
  <commentList>
    <comment ref="B9" authorId="0" shapeId="0" xr:uid="{4C579049-75B6-4247-867D-55749B1F14FA}">
      <text>
        <r>
          <rPr>
            <b/>
            <sz val="9"/>
            <color indexed="81"/>
            <rFont val="Segoe UI"/>
            <family val="2"/>
          </rPr>
          <t xml:space="preserve">Descrição breve da ação.
Ex: 
Evento X
Ativar Prev
</t>
        </r>
      </text>
    </comment>
    <comment ref="C9" authorId="0" shapeId="0" xr:uid="{4264A478-6263-4353-A26F-A5828222E68A}">
      <text>
        <r>
          <rPr>
            <b/>
            <sz val="9"/>
            <color indexed="81"/>
            <rFont val="Segoe UI"/>
            <family val="2"/>
          </rPr>
          <t xml:space="preserve">Descrição breve da ação.
Ex: 
Evento X
Ativar Prev
</t>
        </r>
      </text>
    </comment>
    <comment ref="D9" authorId="0" shapeId="0" xr:uid="{9BB9E4E0-2CD4-4F32-9C5E-5A6F7EA960D6}">
      <text>
        <r>
          <rPr>
            <b/>
            <sz val="9"/>
            <color indexed="81"/>
            <rFont val="Segoe UI"/>
            <family val="2"/>
          </rPr>
          <t xml:space="preserve">Descrição breve da ação.
Ex: 
Evento X
Ativar Prev
</t>
        </r>
      </text>
    </comment>
    <comment ref="E9" authorId="0" shapeId="0" xr:uid="{83E8D9E2-462C-4BF9-98EE-4E961ED21C16}">
      <text>
        <r>
          <rPr>
            <b/>
            <sz val="9"/>
            <color indexed="81"/>
            <rFont val="Segoe UI"/>
            <family val="2"/>
          </rPr>
          <t>Qual indicador principal é atacado por essa ação, e qual a causa identificada.
Ex: Captação/Falta de domínio comercial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9" authorId="0" shapeId="0" xr:uid="{5783E0ED-0151-46DD-9A8E-D85BECA00F6F}">
      <text>
        <r>
          <rPr>
            <b/>
            <sz val="9"/>
            <color indexed="81"/>
            <rFont val="Segoe UI"/>
            <family val="2"/>
          </rPr>
          <t>Prazo de finalização da ação. Tem que ser uma data específica, e não algo vago ou somente o mês.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9" authorId="0" shapeId="0" xr:uid="{536A24C6-0E33-44DC-AA4B-C7CF9CBCC92E}">
      <text>
        <r>
          <rPr>
            <b/>
            <sz val="9"/>
            <color indexed="81"/>
            <rFont val="Segoe UI"/>
            <family val="2"/>
          </rPr>
          <t>Indicar NOMINALMENTE o responsável pela ação. Se mais de uma pessoa estiver executando a ação, colocar apenas uma que é a principal responsável.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9" authorId="0" shapeId="0" xr:uid="{80603774-1B03-43D7-9FD0-B1186522C1F0}">
      <text>
        <r>
          <rPr>
            <b/>
            <sz val="9"/>
            <color indexed="81"/>
            <rFont val="Segoe UI"/>
            <family val="2"/>
          </rPr>
          <t>Abertura mais específica de como será feita a ação.
Ex:
Evento no Jockey Clube do Rio de Janeiro para empresários locais.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9" authorId="0" shapeId="0" xr:uid="{1BE6E418-BD09-410B-A24C-5255FB0EF5EC}">
      <text>
        <r>
          <rPr>
            <b/>
            <sz val="9"/>
            <color indexed="81"/>
            <rFont val="Segoe UI"/>
            <family val="2"/>
          </rPr>
          <t>Número de oportunidades comerciais geradas pela ação em questão.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9" authorId="0" shapeId="0" xr:uid="{D641A383-F53C-4129-99F8-C4F16D01084A}">
      <text>
        <r>
          <rPr>
            <b/>
            <sz val="9"/>
            <color indexed="81"/>
            <rFont val="Segoe UI"/>
            <family val="2"/>
          </rPr>
          <t>Valor médio de cada uma das oportunidades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9" authorId="0" shapeId="0" xr:uid="{86214AF1-93A5-4006-ABBF-8913143B10CB}">
      <text>
        <r>
          <rPr>
            <b/>
            <sz val="9"/>
            <color indexed="81"/>
            <rFont val="Segoe UI"/>
            <family val="2"/>
          </rPr>
          <t>Campo calculado que mostra o tamanho total da oportunidade.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9" authorId="0" shapeId="0" xr:uid="{B9395D39-B721-4B1B-AFA9-6D2EB19FE296}">
      <text>
        <r>
          <rPr>
            <b/>
            <sz val="9"/>
            <color indexed="81"/>
            <rFont val="Segoe UI"/>
            <family val="2"/>
          </rPr>
          <t xml:space="preserve">Quanto se espera coverter do potencial identificado
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9" authorId="0" shapeId="0" xr:uid="{2805EB2C-F4D5-42E0-83DE-D2F401043DDD}">
      <text>
        <r>
          <rPr>
            <b/>
            <sz val="9"/>
            <color indexed="81"/>
            <rFont val="Segoe UI"/>
            <family val="2"/>
          </rPr>
          <t>Campo calculado que mostra o total de conversão esperado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9" authorId="0" shapeId="0" xr:uid="{A67677A2-A0D1-45E4-BFAA-D7A285AB4715}">
      <text>
        <r>
          <rPr>
            <b/>
            <sz val="9"/>
            <color indexed="81"/>
            <rFont val="Segoe UI"/>
            <family val="2"/>
          </rPr>
          <t xml:space="preserve">Campo calculado que mostra quanto o resultado esperado dessa ação representa da Meta total do período.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9" authorId="0" shapeId="0" xr:uid="{E3AD89A7-B6B5-4B1C-8084-EEC4543F915E}">
      <text>
        <r>
          <rPr>
            <b/>
            <sz val="9"/>
            <color indexed="81"/>
            <rFont val="Segoe UI"/>
            <family val="2"/>
          </rPr>
          <t xml:space="preserve">Quais os indicadores de sucesso intermediários para essa ação.
Ex:
- Confirmados no Evento
- Presente no Evento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11" authorId="1" shapeId="0" xr:uid="{85248FBD-A6CE-41DC-A6B0-D8F441FE395B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Aqui estamos usando a taxa de sucesso definida pelo (a) assessor(a) multiplicado pelo número de oportunidades esperadas
</t>
        </r>
      </text>
    </comment>
    <comment ref="P11" authorId="1" shapeId="0" xr:uid="{D5C80021-949C-4BC8-887F-FE537039A077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Aqui estamos usando o percentual de conversão de contatos em diagnósticos (1a reunião)  preenchido na aba plano comercial , multiplicado pelo número de conexões
</t>
        </r>
      </text>
    </comment>
    <comment ref="Q11" authorId="1" shapeId="0" xr:uid="{F5454939-EE19-4D8E-93E8-E5207B40B618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Aqui estamos usando o percentual de conversão de diagnósticos (1 a reunião) em propostas preenchido na aba plano comercial pelo usuário.</t>
        </r>
      </text>
    </comment>
    <comment ref="S11" authorId="1" shapeId="0" xr:uid="{2DA34971-79C3-4DBF-A6AE-234CDE67674C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Neste exemplo, não estamos usando nenhu mdaod, pois a ação é uma ação de prospecção, hunter. Deixamos o conceito e indicador  de mapeamento para as ações de farming, ou seja, relacionamento com a propria base de atuais clientes. Para entender mais, veja exemplo abaixo </t>
        </r>
      </text>
    </comment>
    <comment ref="T11" authorId="1" shapeId="0" xr:uid="{6A775B27-7329-40E7-A618-C697EF122785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Neste exemplo, não estamos usando nenhu mdaod, pois a ação é uma ação de prospecção, hunter. Deixamos o conceito e indicador  de mapeamento para as ações de farming, ou seja, relacionamento com a propria base de atuais clientes. Para entender mais, veja exemplo abaixo </t>
        </r>
      </text>
    </comment>
    <comment ref="S12" authorId="1" shapeId="0" xr:uid="{01D075F1-4855-4DFB-8880-FCC06BB1BCBE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Neste exemplo, não estamos usando nenhu mdaod, pois a ação é uma ação de prospecção, hunter. Deixamos o conceito e indicador  de mapeamento para as ações de farming, ou seja, relacionamento com a propria base de atuais clientes. Para entender mais, veja exemplo abaixo </t>
        </r>
      </text>
    </comment>
    <comment ref="T12" authorId="1" shapeId="0" xr:uid="{6C86D0CC-8C67-4AB7-AFE7-1FAC2A65FA66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Neste exemplo, não estamos usando nenhu mdaod, pois a ação é uma ação de prospecção, hunter. Deixamos o conceito e indicador  de mapeamento para as ações de farming, ou seja, relacionamento com a propria base de atuais clientes. Para entender mais, veja exemplo abaixo </t>
        </r>
      </text>
    </comment>
    <comment ref="O13" authorId="1" shapeId="0" xr:uid="{0B940ABF-683C-4B31-AA8A-73CDBFBD48A0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Aqui não estamos usando estes indicadores porque o plano é uma ação de origem farmeer, ou seja, captação na propria base de clientes, veja celulas a direita. Nestes casos, usamos o indicador de mapeamento e propostas comerciais farmer, conforme segue à direita
</t>
        </r>
      </text>
    </comment>
    <comment ref="P13" authorId="1" shapeId="0" xr:uid="{FDD67C9D-090B-4711-BAFE-25B50097DD1A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Aqui não estamos usando estes indicadores porque o plano é uma ação de origem farmeer, ou seja, captação na propria base de clientes, veja celulas a direita. Nestes casos, usamos o indicador de mapeamento e propostas comerciais farmer, conforme segue à direita
</t>
        </r>
      </text>
    </comment>
    <comment ref="Q13" authorId="1" shapeId="0" xr:uid="{07F05211-3908-4195-A87F-733ABA2EAB7D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Aqui não estamos usando estes indicadores porque o plano é uma ação de origem farmeer, ou seja, captação na propria base de clientes, veja celulas a direita. Nestes casos, usamos o indicador de mapeamento e propostas comerciais farmer, conforme segue à direita
</t>
        </r>
      </text>
    </comment>
    <comment ref="S13" authorId="1" shapeId="0" xr:uid="{D59B3134-8C8B-42AC-861F-7A797EA1C4E0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Aqui estamos usando a taxa de sucesso esperada, aplicada ao número de oportunidades esperadas
</t>
        </r>
      </text>
    </comment>
    <comment ref="T13" authorId="1" shapeId="0" xr:uid="{76184BC1-2031-4089-9454-0F8C306DFDD2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Aqui estamos usando o número de Mapeamentos de clietnes da base multiplicado pelo percentual de conversão de mapeamento em propostas preenchido pelo (a) usuário (a) na aba plano comercial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Bianca Juliano</author>
  </authors>
  <commentList>
    <comment ref="I11" authorId="0" shapeId="0" xr:uid="{00C2EC1C-2941-4A70-B440-13BE82ED6F21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Se o mês tiver 5 semanas, toda a projeção para acompanhamento semanal estara dividido por 5.  Por isso, preencha corretamente, de acordo com quantidade de semanas do mês em questao de acompanhamento.</t>
        </r>
      </text>
    </comment>
    <comment ref="C13" authorId="0" shapeId="0" xr:uid="{7A396164-5341-4D2F-8CFD-06A953BDB9B4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Hoje temos como número de referência 30% de conversão de Pipeline em times que fazem gestão de pipeline, este número tende a aumentar, à medida que você aumenta a gestão de pipe e o acompanhamento de indicadores de gestão como estamos nos propondo a fazer aqui. Quando você perceber que está mais preciso em relação a sua conversão, retro-alimente a planilha.</t>
        </r>
      </text>
    </comment>
    <comment ref="K17" authorId="0" shapeId="0" xr:uid="{3C0D2784-0E4C-41FA-8C41-A8B0D3A8C066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Aqui você preenche  a captação realizada na semana 1</t>
        </r>
      </text>
    </comment>
    <comment ref="H19" authorId="0" shapeId="0" xr:uid="{D048893B-A770-4E91-B58D-4B949CEE9545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ATENÇÃO: para o Pipeline estamos deixando o valor necessário semanal fixo, independente do realizado nas semanas anteriores, para garantir que o PIPE não interfira na intensidade comercial, e esteja sempre alinhado com o valor inicial planejado.</t>
        </r>
      </text>
    </comment>
    <comment ref="K19" authorId="0" shapeId="0" xr:uid="{2794FECA-38CC-49DF-9187-2D23647C4F4F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Aqui você preenche o PIPELINE GERADO ao longo da semana 1, que será efetivado durante a próxima semana. Previsibilidade de entrada de TED para a próxima semana</t>
        </r>
      </text>
    </comment>
    <comment ref="K21" authorId="0" shapeId="0" xr:uid="{5D985A57-AEE7-4654-BDE0-6F05FD97C1EB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Aqui você preenche o realizado de esforços comerciais. (conexões) e sucessivamente nas demais células abaixo, referente à Diagnóstico, Propostas, Mapeamentos na Base e Propostas Farmers enviadas....</t>
        </r>
      </text>
    </comment>
    <comment ref="H31" authorId="0" shapeId="0" xr:uid="{329ABDE8-C8F2-4919-AA67-42460A719FD1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ATENÇÃO: para o Pipeline estamos deixando o valor necessário semanal fixo, independente do realizado nas semanas anteriores, para garantir que o PIPE não interfira na intensidade comercial, e esteja sempre alinhado com o valor inicial planejado.</t>
        </r>
      </text>
    </comment>
    <comment ref="H43" authorId="0" shapeId="0" xr:uid="{A6A4088B-0178-45F1-A140-178F71A55554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ATENÇÃO: para o Pipeline estamos deixando o valor necessário semanal fixo, independente do realizado nas semanas anteriores, para garantir que o PIPE não interfira na intensidade comercial, e esteja sempre alinhado com o valor inicial planejado.</t>
        </r>
      </text>
    </comment>
    <comment ref="H55" authorId="0" shapeId="0" xr:uid="{E247E44D-3412-44A4-8EF9-D578D768629E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ATENÇÃO: para o Pipeline estamos deixando o valor necessário semanal fixo, independente do realizado nas semanas anteriores, para garantir que o PIPE não interfira na intensidade comercial, e esteja sempre alinhado com o valor inicial planejado.</t>
        </r>
      </text>
    </comment>
    <comment ref="H67" authorId="0" shapeId="0" xr:uid="{1B279B3B-29DC-4A5F-A65B-14812C1C7DB8}">
      <text>
        <r>
          <rPr>
            <b/>
            <sz val="9"/>
            <color indexed="81"/>
            <rFont val="Segoe UI"/>
            <family val="2"/>
          </rPr>
          <t>Bianca Juliano:</t>
        </r>
        <r>
          <rPr>
            <sz val="9"/>
            <color indexed="81"/>
            <rFont val="Segoe UI"/>
            <family val="2"/>
          </rPr>
          <t xml:space="preserve">
ATENÇÃO: para o Pipeline estamos deixando o valor necessário semanal fixo, independente do realizado nas semanas anteriores, para garantir que o PIPE não interfira na intensidade comercial, e esteja sempre alinhado com o valor inicial planejado.</t>
        </r>
      </text>
    </comment>
  </commentList>
</comments>
</file>

<file path=xl/sharedStrings.xml><?xml version="1.0" encoding="utf-8"?>
<sst xmlns="http://schemas.openxmlformats.org/spreadsheetml/2006/main" count="294" uniqueCount="198">
  <si>
    <t>PROBLEMA</t>
  </si>
  <si>
    <t>Não domina o processo comercial</t>
  </si>
  <si>
    <t>ANÁLISE DO FENÔMENO</t>
  </si>
  <si>
    <t>Dicas de Uso:</t>
  </si>
  <si>
    <t>Glossário para encontrar os dados a serem preenchidos</t>
  </si>
  <si>
    <r>
      <t xml:space="preserve">                Células em </t>
    </r>
    <r>
      <rPr>
        <b/>
        <sz val="10"/>
        <color theme="1"/>
        <rFont val="Calibri"/>
        <family val="2"/>
        <scheme val="minor"/>
      </rPr>
      <t>amarelo</t>
    </r>
    <r>
      <rPr>
        <sz val="10"/>
        <color theme="1"/>
        <rFont val="Calibri"/>
        <family val="2"/>
        <scheme val="minor"/>
      </rPr>
      <t xml:space="preserve"> são editáveis e onde você insere os seus dados (</t>
    </r>
    <r>
      <rPr>
        <b/>
        <i/>
        <sz val="10"/>
        <color theme="1"/>
        <rFont val="Calibri"/>
        <family val="2"/>
        <scheme val="minor"/>
      </rPr>
      <t>Input</t>
    </r>
    <r>
      <rPr>
        <sz val="10"/>
        <color theme="1"/>
        <rFont val="Calibri"/>
        <family val="2"/>
        <scheme val="minor"/>
      </rPr>
      <t>).</t>
    </r>
  </si>
  <si>
    <t>*1 &gt; Dado encontrado no HUB-&gt;Dashboard-&gt;Performance</t>
  </si>
  <si>
    <r>
      <t xml:space="preserve">                Células em </t>
    </r>
    <r>
      <rPr>
        <b/>
        <sz val="10"/>
        <color theme="1"/>
        <rFont val="Calibri"/>
        <family val="2"/>
        <scheme val="minor"/>
      </rPr>
      <t xml:space="preserve">branco </t>
    </r>
    <r>
      <rPr>
        <sz val="10"/>
        <color theme="1"/>
        <rFont val="Calibri"/>
        <family val="2"/>
        <scheme val="minor"/>
      </rPr>
      <t>são cálculos automáticos a partir do preenchimento das células em amarelo (</t>
    </r>
    <r>
      <rPr>
        <b/>
        <i/>
        <sz val="10"/>
        <color theme="1"/>
        <rFont val="Calibri"/>
        <family val="2"/>
        <scheme val="minor"/>
      </rPr>
      <t>Output</t>
    </r>
    <r>
      <rPr>
        <sz val="10"/>
        <color theme="1"/>
        <rFont val="Calibri"/>
        <family val="2"/>
        <scheme val="minor"/>
      </rPr>
      <t>).</t>
    </r>
  </si>
  <si>
    <t>*2 &gt; Dado deve ser inputado por conta própria e validado pela liderança</t>
  </si>
  <si>
    <r>
      <t xml:space="preserve">                Células em </t>
    </r>
    <r>
      <rPr>
        <b/>
        <sz val="10"/>
        <color theme="1"/>
        <rFont val="Calibri"/>
        <family val="2"/>
        <scheme val="minor"/>
      </rPr>
      <t>verde</t>
    </r>
    <r>
      <rPr>
        <sz val="10"/>
        <color theme="1"/>
        <rFont val="Calibri"/>
        <family val="2"/>
        <scheme val="minor"/>
      </rPr>
      <t xml:space="preserve"> são os esforços mensais necessários para o atingimento das premissas (</t>
    </r>
    <r>
      <rPr>
        <b/>
        <i/>
        <sz val="10"/>
        <color theme="1"/>
        <rFont val="Calibri"/>
        <family val="2"/>
        <scheme val="minor"/>
      </rPr>
      <t>Output</t>
    </r>
    <r>
      <rPr>
        <sz val="10"/>
        <color theme="1"/>
        <rFont val="Calibri"/>
        <family val="2"/>
        <scheme val="minor"/>
      </rPr>
      <t>).</t>
    </r>
  </si>
  <si>
    <t>Passo 1 - Preencha</t>
  </si>
  <si>
    <t>Premissas Iniciais - Hunter</t>
  </si>
  <si>
    <t>Glossário</t>
  </si>
  <si>
    <t>1. NET Atual</t>
  </si>
  <si>
    <t>*1</t>
  </si>
  <si>
    <t>2. Qtde Total Clientes Ativos Atuais</t>
  </si>
  <si>
    <t>1. SoW atual</t>
  </si>
  <si>
    <t>2. Potencial dentro da base</t>
  </si>
  <si>
    <t>3. Ticket Médio Potencial Dentro da Base</t>
  </si>
  <si>
    <t>4. Churn esperado (%) / mês</t>
  </si>
  <si>
    <t>4.1. Churn Esperado (R$) / mês</t>
  </si>
  <si>
    <t>4.2. Churn Esperado (R$) / período</t>
  </si>
  <si>
    <t>1. ROA Atual (comissionamento líquido - depois de imposto e rebate)</t>
  </si>
  <si>
    <t>*2</t>
  </si>
  <si>
    <t>2. Comissionamento Mensal Bruto</t>
  </si>
  <si>
    <t>Passo 2 - Preencha</t>
  </si>
  <si>
    <t>Passo 3 - Preencha</t>
  </si>
  <si>
    <t>RESUMO O PLANO COMERCIAL - HUNTER E FARMER -  Apenas para Leitura - NÃO Preencha!</t>
  </si>
  <si>
    <t xml:space="preserve">Memória de Cálculo dos Passos 3 e 4 - Apenas para Leitura - NÃO Preencha! </t>
  </si>
  <si>
    <t>Objetivos e Desafios</t>
  </si>
  <si>
    <t>1. Horizonte de Análise (meses)</t>
  </si>
  <si>
    <t>Pensando no SEU Processo/Funil Comercial durante atividade HUNTING (Prospecção de Novos Clientes), RESPONDA:</t>
  </si>
  <si>
    <t>Plano Comercial Hunter</t>
  </si>
  <si>
    <t>Prospecção Novos Clientes (Hunter)</t>
  </si>
  <si>
    <t>Hunting</t>
  </si>
  <si>
    <t>2. Objetivo de Comissionamento Mensal</t>
  </si>
  <si>
    <t>Qual % de Conexões que viram Agendamento de Reunião de Mapeamento (1a Reunião)? (# Diagnósticos / # Conexões)</t>
  </si>
  <si>
    <t>1. Captação Novos Clientes</t>
  </si>
  <si>
    <t>3. Objetivo de ROA  (líquido - depois de impostos e rebate)</t>
  </si>
  <si>
    <t>Qual % de Diagnósticos (1a Reunião) que viram Reuniões de Apresentação de Proposta (2a Reunião)?  ( # Propostas Comerciais / # Diagnósticos )</t>
  </si>
  <si>
    <t>Planejado</t>
  </si>
  <si>
    <t>Mensal</t>
  </si>
  <si>
    <t>Semanal</t>
  </si>
  <si>
    <t>Diário</t>
  </si>
  <si>
    <t>1. Captação Novos Clientes/Mês</t>
  </si>
  <si>
    <t>4. NET Projetado</t>
  </si>
  <si>
    <t>Qual % de Propostas (2a reunião) que viram Abertura de Conta (Habilitação)? (# Habilitações / # Propostas)</t>
  </si>
  <si>
    <t># Conexões Necessárias</t>
  </si>
  <si>
    <t>2. Ticket Médio de 1º aporte Objetivo</t>
  </si>
  <si>
    <t>5. Objetivo de CAPTAÇÃO / Mês</t>
  </si>
  <si>
    <t>Qual % de Contas Abertas (Habilitação) que viram TED (Contas Ativadas)?(# Contas Ativadas / # Habilitações)</t>
  </si>
  <si>
    <t># Diagnósticos Necessários</t>
  </si>
  <si>
    <t>3. # Conexão Total</t>
  </si>
  <si>
    <t>6. Captação Alvo no Período + Churn Período</t>
  </si>
  <si>
    <t xml:space="preserve">Qual Ticket Médio de 1º Aporte Objetivo? </t>
  </si>
  <si>
    <t># Propostas Comerciais Hunter Necessárias</t>
  </si>
  <si>
    <t>3.2 # Conexão / Mês</t>
  </si>
  <si>
    <t>7. Atingimento da Meta no Período</t>
  </si>
  <si>
    <t>Ticket Médio 1º Aporte Alvo</t>
  </si>
  <si>
    <t>3.3 # Conexão / Dia</t>
  </si>
  <si>
    <t>8. % Captação dentro da Base</t>
  </si>
  <si>
    <t>4.Qual % de Conexões que viram Agendamento de Reunião de Mapeamento (1a Reunião)? (# Diagnósticos / # Conexões)</t>
  </si>
  <si>
    <t>8.1 % Captação fora da Base</t>
  </si>
  <si>
    <t>Captação Mensal Alvo</t>
  </si>
  <si>
    <t>4.1. # Diagnósticos / Mês</t>
  </si>
  <si>
    <t>9. R$ Captação dentro da Base</t>
  </si>
  <si>
    <t>5. Qual % de Diagnósticos (1a Reunião) que viram Reuniões de Apresentação de Proposta (2a Reunião)?  ( # Propostas Comerciais / # Diagnósticos )</t>
  </si>
  <si>
    <t>10.1 % Captação fora da Base</t>
  </si>
  <si>
    <t>5.1. # Proposta Comercial / Mês</t>
  </si>
  <si>
    <t>Passo 4 - Preencha</t>
  </si>
  <si>
    <t>Plano Comercial Farmer</t>
  </si>
  <si>
    <t>6.Qual % de Propostas (2a reunião) que viram Abertura de Conta (Habilitação)? (# Habilitações / # Propostas)</t>
  </si>
  <si>
    <t>6.1. # Contas Abertas / mês</t>
  </si>
  <si>
    <t>Pensando no atendimento a sua BASE de JÁ CLIENTES (Carteira), durante atividade FARMER: RESPONDA:</t>
  </si>
  <si>
    <t>Orçado</t>
  </si>
  <si>
    <t>7. Qual % de Contas Abertas (Habilitação) que viram TED (Contas Ativadas)?(# Contas Ativadas / # Habilitações)</t>
  </si>
  <si>
    <t>Qual % de Mapeamentos feitos com os clientes da Base que viram Envio de Proposta para o cliente? (# Propostas Enviadas / # Mapeamentos)</t>
  </si>
  <si>
    <t># Mapeamentos de Clientes Base Necessários</t>
  </si>
  <si>
    <t xml:space="preserve">7.2. # Ativação / Contas Abertas </t>
  </si>
  <si>
    <t>Qual % Propostas Enviadas que viram TED enviadas (Propostas Ativadas)?  ( # TEDs ou Propostas Ativadas / # Propostas Enviadas )</t>
  </si>
  <si>
    <t># Propostas Farmer Necessárias</t>
  </si>
  <si>
    <t>8. # Ativações no Período</t>
  </si>
  <si>
    <t>Plano FARMER é suficiente?</t>
  </si>
  <si>
    <t>Ticket Médio Alvo</t>
  </si>
  <si>
    <t>8.1. # Ativações / mês</t>
  </si>
  <si>
    <t>*Não avançar caso o plano não seja suficiente</t>
  </si>
  <si>
    <t>9. % Tx. Conversão Total (# Ativações / # Conexões)</t>
  </si>
  <si>
    <t>Captação Mensal Alvo TOTAL: Hunter + Farmer</t>
  </si>
  <si>
    <t>Prospecção Base (Farmer)</t>
  </si>
  <si>
    <t>Farming</t>
  </si>
  <si>
    <t>Passo 5 (Análise - ROA) - Preencha</t>
  </si>
  <si>
    <t>1. Captação Clientes Ativos</t>
  </si>
  <si>
    <t>Objetivo</t>
  </si>
  <si>
    <t>1.1. Captação Clientes Ativos/Mês</t>
  </si>
  <si>
    <t>Classe de Produtos</t>
  </si>
  <si>
    <t>ROA Médio</t>
  </si>
  <si>
    <t>Alocação</t>
  </si>
  <si>
    <t>NET de Aplicação (Período)</t>
  </si>
  <si>
    <t>COMISSÃO MENSAL</t>
  </si>
  <si>
    <t>2. Ticket Médio Objetivo Pipeline - Aumento SoW</t>
  </si>
  <si>
    <t>Renda Fixa (FGC)</t>
  </si>
  <si>
    <t>3. Qual % de Mapeamentos feitos com os clientes da Base que viram Envio de Proposta para o cliente? (# Propostas Enviadas / # Mapeamentos)</t>
  </si>
  <si>
    <t>Renda Fixa Crédito Privado</t>
  </si>
  <si>
    <t>3.1 # Mapeamento Total</t>
  </si>
  <si>
    <t>Títulos Públicos</t>
  </si>
  <si>
    <t>3.2 # Mapeamento / Mês</t>
  </si>
  <si>
    <t>Tesouro Direto</t>
  </si>
  <si>
    <t>3.3 # Mapeamento / Dia</t>
  </si>
  <si>
    <t>Renda Variável</t>
  </si>
  <si>
    <t>4. Qual % Propostas Enviadas que viram TED enviadas (Propostas Ativadas)?  ( # TEDs ou Propostas Ativadas / # Propostas Enviadas )</t>
  </si>
  <si>
    <t>Fundos</t>
  </si>
  <si>
    <t>4.1. # Ativação de Proposta  / Proposta Enviada</t>
  </si>
  <si>
    <t>Previdência (Seguros no Tableau)</t>
  </si>
  <si>
    <t>4.2. # Propostas (Pipeline) Enviadas/ mês</t>
  </si>
  <si>
    <t>Compromissada</t>
  </si>
  <si>
    <t>5. # Ativações de Proposta no Período</t>
  </si>
  <si>
    <t>COE</t>
  </si>
  <si>
    <t>5.1. # Propostas Convertidas / mês</t>
  </si>
  <si>
    <t>TOTAL ATUAL</t>
  </si>
  <si>
    <t>6. Tx. Conversão Total</t>
  </si>
  <si>
    <t>CHECK</t>
  </si>
  <si>
    <t>ROA Anualizado Atual</t>
  </si>
  <si>
    <t xml:space="preserve">Objetivo de ROA </t>
  </si>
  <si>
    <t>CHECK - Objetivo</t>
  </si>
  <si>
    <r>
      <t xml:space="preserve">                Células em </t>
    </r>
    <r>
      <rPr>
        <b/>
        <sz val="11"/>
        <color theme="1"/>
        <rFont val="Calibri"/>
        <family val="2"/>
        <scheme val="minor"/>
      </rPr>
      <t>amarelo</t>
    </r>
    <r>
      <rPr>
        <sz val="11"/>
        <color theme="1"/>
        <rFont val="Calibri"/>
        <family val="2"/>
        <scheme val="minor"/>
      </rPr>
      <t xml:space="preserve"> são editáveis e onde você insere os seus dados (</t>
    </r>
    <r>
      <rPr>
        <b/>
        <i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>).</t>
    </r>
  </si>
  <si>
    <t>*1 &gt;Dado encontrado no HUB-&gt;Dashboard-&gt;Performance</t>
  </si>
  <si>
    <r>
      <t xml:space="preserve">                Células em </t>
    </r>
    <r>
      <rPr>
        <b/>
        <sz val="11"/>
        <color theme="1"/>
        <rFont val="Calibri"/>
        <family val="2"/>
        <scheme val="minor"/>
      </rPr>
      <t xml:space="preserve">branco </t>
    </r>
    <r>
      <rPr>
        <sz val="11"/>
        <color theme="1"/>
        <rFont val="Calibri"/>
        <family val="2"/>
        <scheme val="minor"/>
      </rPr>
      <t>são cálculos automáticos a partir do preenchimento das células em amarelo (</t>
    </r>
    <r>
      <rPr>
        <b/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>).</t>
    </r>
  </si>
  <si>
    <t>*2&gt; Dado deve ser inputado por conta própria e validado pela liderança</t>
  </si>
  <si>
    <r>
      <t xml:space="preserve">                Células em </t>
    </r>
    <r>
      <rPr>
        <b/>
        <sz val="11"/>
        <color theme="1"/>
        <rFont val="Calibri"/>
        <family val="2"/>
        <scheme val="minor"/>
      </rPr>
      <t>verde</t>
    </r>
    <r>
      <rPr>
        <sz val="11"/>
        <color theme="1"/>
        <rFont val="Calibri"/>
        <family val="2"/>
        <scheme val="minor"/>
      </rPr>
      <t xml:space="preserve"> são os esforços mensais necessários para o atingimento das premissas (</t>
    </r>
    <r>
      <rPr>
        <b/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>).</t>
    </r>
  </si>
  <si>
    <t>*3&gt; Dado encontrado no Salesforce</t>
  </si>
  <si>
    <t>Plano de Ação Mensal: Assessor</t>
  </si>
  <si>
    <t>Problema</t>
  </si>
  <si>
    <t>Causa</t>
  </si>
  <si>
    <t>Nome Ação</t>
  </si>
  <si>
    <t>Indicador Fim</t>
  </si>
  <si>
    <t>Prazo</t>
  </si>
  <si>
    <t>Responsável</t>
  </si>
  <si>
    <t>Como?</t>
  </si>
  <si>
    <t># oportunidades esperadas</t>
  </si>
  <si>
    <t>$/oportunidade</t>
  </si>
  <si>
    <t>Potencial Identificado</t>
  </si>
  <si>
    <t>Taxa de Sucesso esperada</t>
  </si>
  <si>
    <t>Resultado Esperado</t>
  </si>
  <si>
    <t>% atingimento da meta</t>
  </si>
  <si>
    <t>Indicador Meio - Hunter</t>
  </si>
  <si>
    <t>Indicador Meio - Farmer</t>
  </si>
  <si>
    <t># Conexões</t>
  </si>
  <si>
    <t># Diagnósticos</t>
  </si>
  <si>
    <t># Propostas Comerciais Hunter</t>
  </si>
  <si>
    <t># Mapeamentos  Clientes Base</t>
  </si>
  <si>
    <t># Propostas Comerciais Farmer</t>
  </si>
  <si>
    <t xml:space="preserve">TOTAL    </t>
  </si>
  <si>
    <t>-</t>
  </si>
  <si>
    <t>LEMBRE-SE SEMPRE DO OBJETIVO - PONTO DE PARTIDA!</t>
  </si>
  <si>
    <t>Esforços Totais são suficientes?</t>
  </si>
  <si>
    <t>Conexão Efetuadas</t>
  </si>
  <si>
    <t>Diagnósticos Efetuados</t>
  </si>
  <si>
    <t>Propostas Comerciais Hunter</t>
  </si>
  <si>
    <t>Ticket Médio</t>
  </si>
  <si>
    <t>Captação Mensal para Meta</t>
  </si>
  <si>
    <t># Mapemaneto Clientes Base</t>
  </si>
  <si>
    <t># Propostas Farmer Enviadas</t>
  </si>
  <si>
    <t>Captação Mensal para a meta</t>
  </si>
  <si>
    <t>1:1 Semanal</t>
  </si>
  <si>
    <t>Assessor:</t>
  </si>
  <si>
    <t>Mês</t>
  </si>
  <si>
    <t>Junho</t>
  </si>
  <si>
    <t>Meta Cap</t>
  </si>
  <si>
    <t>*Considera obj. de captação + resgates esperado (Churn)</t>
  </si>
  <si>
    <t>Semanas Atual</t>
  </si>
  <si>
    <t>Cap Acum.</t>
  </si>
  <si>
    <t>Semanas Mês</t>
  </si>
  <si>
    <t>Pipeline Acum.</t>
  </si>
  <si>
    <r>
      <t>PREENCHA OS</t>
    </r>
    <r>
      <rPr>
        <sz val="11.5"/>
        <color theme="0"/>
        <rFont val="Calibri"/>
        <family val="2"/>
        <scheme val="minor"/>
      </rPr>
      <t xml:space="preserve"> </t>
    </r>
    <r>
      <rPr>
        <b/>
        <sz val="11.5"/>
        <color theme="0"/>
        <rFont val="Calibri"/>
        <family val="2"/>
        <scheme val="minor"/>
      </rPr>
      <t>REALIZADOS NESTA COLUNA</t>
    </r>
  </si>
  <si>
    <t>Tx. Conversão Pipeline</t>
  </si>
  <si>
    <t>PREENCHA O % DE CONVERSÃO DE PIPELINE ESTIMADO, ATÉ QUE VOCÊ TENHA O REALIZADO DE FATO</t>
  </si>
  <si>
    <t xml:space="preserve"> </t>
  </si>
  <si>
    <t>Semana 1</t>
  </si>
  <si>
    <t>Realizado/Gerado</t>
  </si>
  <si>
    <t>Esforços suficientes?</t>
  </si>
  <si>
    <t>(Preencher valores abaixo)</t>
  </si>
  <si>
    <t>Resultado</t>
  </si>
  <si>
    <t>Captação da semana</t>
  </si>
  <si>
    <t>Pipeline (Oportunidade)</t>
  </si>
  <si>
    <t>Pipeline gerado na semana</t>
  </si>
  <si>
    <t>Atividades Feitas (Esforços)</t>
  </si>
  <si>
    <r>
      <t>#Conexão /</t>
    </r>
    <r>
      <rPr>
        <b/>
        <sz val="11"/>
        <color theme="1"/>
        <rFont val="Calibri"/>
        <family val="2"/>
        <scheme val="minor"/>
      </rPr>
      <t xml:space="preserve"> Agendamento de Reuniões</t>
    </r>
  </si>
  <si>
    <r>
      <t>#Diagnóstico /</t>
    </r>
    <r>
      <rPr>
        <b/>
        <sz val="11"/>
        <color theme="1"/>
        <rFont val="Calibri"/>
        <family val="2"/>
        <scheme val="minor"/>
      </rPr>
      <t xml:space="preserve"> Reuniões de Mapeamento</t>
    </r>
    <r>
      <rPr>
        <sz val="11"/>
        <color theme="1"/>
        <rFont val="Calibri"/>
        <family val="2"/>
        <scheme val="minor"/>
      </rPr>
      <t xml:space="preserve"> (1ª Reunião)</t>
    </r>
  </si>
  <si>
    <r>
      <t>#Reunião de</t>
    </r>
    <r>
      <rPr>
        <b/>
        <sz val="11"/>
        <color theme="1"/>
        <rFont val="Calibri"/>
        <family val="2"/>
        <scheme val="minor"/>
      </rPr>
      <t xml:space="preserve"> Apresentações de Propostas</t>
    </r>
    <r>
      <rPr>
        <sz val="11"/>
        <color theme="1"/>
        <rFont val="Calibri"/>
        <family val="2"/>
        <scheme val="minor"/>
      </rPr>
      <t xml:space="preserve"> (2º Reunião)</t>
    </r>
  </si>
  <si>
    <r>
      <t>#</t>
    </r>
    <r>
      <rPr>
        <b/>
        <sz val="11"/>
        <color theme="1"/>
        <rFont val="Calibri"/>
        <family val="2"/>
        <scheme val="minor"/>
      </rPr>
      <t>Mapeamentos</t>
    </r>
    <r>
      <rPr>
        <sz val="11"/>
        <color theme="1"/>
        <rFont val="Calibri"/>
        <family val="2"/>
        <scheme val="minor"/>
      </rPr>
      <t xml:space="preserve"> Clientes Base</t>
    </r>
  </si>
  <si>
    <r>
      <t>#</t>
    </r>
    <r>
      <rPr>
        <b/>
        <sz val="11"/>
        <color theme="1"/>
        <rFont val="Calibri"/>
        <family val="2"/>
        <scheme val="minor"/>
      </rPr>
      <t>Propostas Enviadas</t>
    </r>
    <r>
      <rPr>
        <sz val="11"/>
        <color theme="1"/>
        <rFont val="Calibri"/>
        <family val="2"/>
        <scheme val="minor"/>
      </rPr>
      <t xml:space="preserve"> - Farmer</t>
    </r>
  </si>
  <si>
    <t>Semana 2</t>
  </si>
  <si>
    <t>Realizado</t>
  </si>
  <si>
    <t>Atividades Feitas</t>
  </si>
  <si>
    <t>Semana 3</t>
  </si>
  <si>
    <t>Semana 4</t>
  </si>
  <si>
    <t>Semana 5</t>
  </si>
  <si>
    <t>Thiago Fischer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</si>
</sst>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R$&quot;\ #,##0;\-&quot;R$&quot;\ #,##0"/>
    <numFmt numFmtId="6" formatCode="&quot;R$&quot;\ #,##0;[Red]\-&quot;R$&quot;\ #,##0"/>
    <numFmt numFmtId="44" formatCode="_-&quot;R$&quot;\ * #,##0.00_-;\-&quot;R$&quot;\ * #,##0.00_-;_-&quot;R$&quot;\ * &quot;-&quot;??_-;_-@_-"/>
    <numFmt numFmtId="164" formatCode="&quot;R$&quot;\ #,##0.00"/>
    <numFmt numFmtId="165" formatCode="&quot;R$&quot;\ #,##0"/>
    <numFmt numFmtId="166" formatCode="0.0%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.5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0"/>
      <name val="Bahnschrift"/>
      <family val="2"/>
    </font>
    <font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Roboto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.5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75">
    <xf numFmtId="0" fontId="0" fillId="0" borderId="0" xfId="0"/>
    <xf numFmtId="0" fontId="0" fillId="4" borderId="0" xfId="0" applyFill="1"/>
    <xf numFmtId="9" fontId="0" fillId="4" borderId="0" xfId="2" applyFont="1" applyFill="1"/>
    <xf numFmtId="9" fontId="4" fillId="4" borderId="0" xfId="2" applyFont="1" applyFill="1" applyAlignment="1">
      <alignment horizontal="center"/>
    </xf>
    <xf numFmtId="9" fontId="0" fillId="4" borderId="0" xfId="2" applyFont="1" applyFill="1" applyAlignment="1">
      <alignment horizontal="right"/>
    </xf>
    <xf numFmtId="9" fontId="9" fillId="4" borderId="0" xfId="2" applyFont="1" applyFill="1" applyAlignment="1">
      <alignment horizontal="left"/>
    </xf>
    <xf numFmtId="9" fontId="0" fillId="4" borderId="0" xfId="2" applyFont="1" applyFill="1" applyAlignment="1">
      <alignment horizontal="left"/>
    </xf>
    <xf numFmtId="9" fontId="0" fillId="4" borderId="0" xfId="0" applyNumberFormat="1" applyFill="1"/>
    <xf numFmtId="0" fontId="0" fillId="0" borderId="0" xfId="0" applyAlignment="1">
      <alignment horizontal="center" vertical="center"/>
    </xf>
    <xf numFmtId="0" fontId="0" fillId="6" borderId="0" xfId="0" applyFill="1"/>
    <xf numFmtId="0" fontId="5" fillId="8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/>
    <xf numFmtId="44" fontId="0" fillId="0" borderId="0" xfId="1" applyFont="1" applyProtection="1"/>
    <xf numFmtId="0" fontId="6" fillId="2" borderId="0" xfId="0" applyFont="1" applyFill="1" applyAlignment="1">
      <alignment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4" fontId="1" fillId="0" borderId="16" xfId="1" applyNumberFormat="1" applyFont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6" fillId="8" borderId="16" xfId="0" applyFont="1" applyFill="1" applyBorder="1" applyAlignment="1">
      <alignment horizontal="right" vertical="center"/>
    </xf>
    <xf numFmtId="0" fontId="6" fillId="8" borderId="16" xfId="0" applyFont="1" applyFill="1" applyBorder="1" applyAlignment="1">
      <alignment horizontal="center" vertical="center"/>
    </xf>
    <xf numFmtId="164" fontId="6" fillId="8" borderId="1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6" borderId="39" xfId="0" applyFont="1" applyFill="1" applyBorder="1" applyAlignment="1">
      <alignment vertical="center"/>
    </xf>
    <xf numFmtId="3" fontId="8" fillId="5" borderId="37" xfId="0" applyNumberFormat="1" applyFont="1" applyFill="1" applyBorder="1" applyAlignment="1">
      <alignment horizontal="center" vertical="center"/>
    </xf>
    <xf numFmtId="0" fontId="8" fillId="6" borderId="40" xfId="0" applyFont="1" applyFill="1" applyBorder="1" applyAlignment="1">
      <alignment vertical="center"/>
    </xf>
    <xf numFmtId="165" fontId="3" fillId="5" borderId="37" xfId="1" applyNumberFormat="1" applyFont="1" applyFill="1" applyBorder="1" applyAlignment="1" applyProtection="1">
      <alignment horizontal="center" vertical="center"/>
    </xf>
    <xf numFmtId="0" fontId="5" fillId="0" borderId="37" xfId="0" applyFont="1" applyBorder="1"/>
    <xf numFmtId="0" fontId="1" fillId="4" borderId="0" xfId="0" applyFont="1" applyFill="1"/>
    <xf numFmtId="0" fontId="5" fillId="4" borderId="0" xfId="0" applyFont="1" applyFill="1"/>
    <xf numFmtId="0" fontId="8" fillId="6" borderId="41" xfId="0" applyFont="1" applyFill="1" applyBorder="1" applyAlignment="1">
      <alignment vertical="center"/>
    </xf>
    <xf numFmtId="5" fontId="0" fillId="0" borderId="0" xfId="0" applyNumberFormat="1"/>
    <xf numFmtId="0" fontId="1" fillId="4" borderId="42" xfId="0" applyFont="1" applyFill="1" applyBorder="1"/>
    <xf numFmtId="0" fontId="1" fillId="0" borderId="16" xfId="0" applyFont="1" applyBorder="1" applyAlignment="1" applyProtection="1">
      <alignment horizontal="center" vertical="center"/>
      <protection locked="0"/>
    </xf>
    <xf numFmtId="14" fontId="1" fillId="0" borderId="16" xfId="0" applyNumberFormat="1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left" vertical="center" wrapText="1"/>
      <protection locked="0"/>
    </xf>
    <xf numFmtId="164" fontId="1" fillId="0" borderId="16" xfId="1" applyNumberFormat="1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vertical="center"/>
      <protection locked="0"/>
    </xf>
    <xf numFmtId="164" fontId="1" fillId="0" borderId="16" xfId="0" applyNumberFormat="1" applyFont="1" applyBorder="1" applyAlignment="1" applyProtection="1">
      <alignment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9" fontId="1" fillId="0" borderId="16" xfId="2" applyFont="1" applyBorder="1" applyAlignment="1" applyProtection="1">
      <alignment horizontal="center" vertical="center"/>
      <protection locked="0"/>
    </xf>
    <xf numFmtId="1" fontId="1" fillId="0" borderId="21" xfId="2" applyNumberFormat="1" applyFont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>
      <alignment horizontal="center"/>
    </xf>
    <xf numFmtId="0" fontId="5" fillId="2" borderId="51" xfId="0" applyFont="1" applyFill="1" applyBorder="1" applyAlignment="1">
      <alignment vertical="center"/>
    </xf>
    <xf numFmtId="0" fontId="5" fillId="2" borderId="52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6" borderId="16" xfId="0" applyFont="1" applyFill="1" applyBorder="1" applyAlignment="1">
      <alignment vertical="center"/>
    </xf>
    <xf numFmtId="0" fontId="5" fillId="4" borderId="17" xfId="0" applyFont="1" applyFill="1" applyBorder="1"/>
    <xf numFmtId="0" fontId="16" fillId="4" borderId="0" xfId="0" applyFont="1" applyFill="1" applyAlignment="1">
      <alignment horizontal="left" vertical="center"/>
    </xf>
    <xf numFmtId="0" fontId="0" fillId="4" borderId="0" xfId="0" applyFill="1" applyAlignment="1">
      <alignment vertical="center"/>
    </xf>
    <xf numFmtId="1" fontId="5" fillId="0" borderId="16" xfId="1" applyNumberFormat="1" applyFont="1" applyFill="1" applyBorder="1" applyAlignment="1" applyProtection="1">
      <alignment vertical="center"/>
    </xf>
    <xf numFmtId="0" fontId="3" fillId="6" borderId="53" xfId="0" applyFont="1" applyFill="1" applyBorder="1" applyAlignment="1">
      <alignment vertical="center"/>
    </xf>
    <xf numFmtId="0" fontId="3" fillId="6" borderId="21" xfId="0" applyFont="1" applyFill="1" applyBorder="1" applyAlignment="1">
      <alignment vertical="center"/>
    </xf>
    <xf numFmtId="0" fontId="3" fillId="11" borderId="3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4" borderId="0" xfId="1" applyFont="1" applyFill="1" applyAlignment="1" applyProtection="1">
      <alignment vertical="center"/>
    </xf>
    <xf numFmtId="0" fontId="3" fillId="11" borderId="16" xfId="0" applyFont="1" applyFill="1" applyBorder="1" applyAlignment="1">
      <alignment horizontal="center" vertical="center"/>
    </xf>
    <xf numFmtId="5" fontId="0" fillId="4" borderId="0" xfId="0" applyNumberFormat="1" applyFill="1"/>
    <xf numFmtId="0" fontId="5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2" fontId="0" fillId="4" borderId="0" xfId="1" applyNumberFormat="1" applyFont="1" applyFill="1" applyBorder="1" applyAlignment="1" applyProtection="1">
      <alignment horizontal="center" vertical="center"/>
    </xf>
    <xf numFmtId="14" fontId="5" fillId="9" borderId="16" xfId="0" applyNumberFormat="1" applyFont="1" applyFill="1" applyBorder="1" applyAlignment="1" applyProtection="1">
      <alignment horizontal="right" vertical="center"/>
      <protection locked="0"/>
    </xf>
    <xf numFmtId="0" fontId="5" fillId="9" borderId="16" xfId="0" applyFont="1" applyFill="1" applyBorder="1" applyAlignment="1" applyProtection="1">
      <alignment vertical="center"/>
      <protection locked="0"/>
    </xf>
    <xf numFmtId="0" fontId="20" fillId="6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6" fillId="9" borderId="26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1" fontId="1" fillId="0" borderId="54" xfId="2" applyNumberFormat="1" applyFont="1" applyBorder="1" applyAlignment="1" applyProtection="1">
      <alignment horizontal="center" vertical="center"/>
      <protection locked="0"/>
    </xf>
    <xf numFmtId="1" fontId="1" fillId="0" borderId="55" xfId="2" applyNumberFormat="1" applyFont="1" applyBorder="1" applyAlignment="1" applyProtection="1">
      <alignment horizontal="center" vertical="center"/>
      <protection locked="0"/>
    </xf>
    <xf numFmtId="1" fontId="6" fillId="8" borderId="24" xfId="2" applyNumberFormat="1" applyFont="1" applyFill="1" applyBorder="1" applyAlignment="1" applyProtection="1">
      <alignment horizontal="center" vertical="center"/>
    </xf>
    <xf numFmtId="1" fontId="6" fillId="8" borderId="22" xfId="2" applyNumberFormat="1" applyFont="1" applyFill="1" applyBorder="1" applyAlignment="1" applyProtection="1">
      <alignment horizontal="center" vertical="center"/>
    </xf>
    <xf numFmtId="1" fontId="1" fillId="4" borderId="0" xfId="2" applyNumberFormat="1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9" fontId="1" fillId="0" borderId="33" xfId="2" applyFont="1" applyBorder="1" applyAlignment="1" applyProtection="1">
      <alignment horizontal="center" vertical="center"/>
    </xf>
    <xf numFmtId="9" fontId="6" fillId="8" borderId="33" xfId="2" applyFont="1" applyFill="1" applyBorder="1" applyAlignment="1" applyProtection="1">
      <alignment horizontal="center" vertical="center"/>
    </xf>
    <xf numFmtId="0" fontId="6" fillId="9" borderId="56" xfId="0" applyFont="1" applyFill="1" applyBorder="1" applyAlignment="1">
      <alignment horizontal="center" vertical="center" wrapText="1"/>
    </xf>
    <xf numFmtId="1" fontId="6" fillId="8" borderId="28" xfId="2" applyNumberFormat="1" applyFont="1" applyFill="1" applyBorder="1" applyAlignment="1" applyProtection="1">
      <alignment horizontal="center" vertical="center"/>
    </xf>
    <xf numFmtId="1" fontId="1" fillId="8" borderId="23" xfId="2" applyNumberFormat="1" applyFont="1" applyFill="1" applyBorder="1" applyAlignment="1" applyProtection="1">
      <alignment horizontal="center" vertical="center"/>
      <protection locked="0"/>
    </xf>
    <xf numFmtId="1" fontId="1" fillId="8" borderId="20" xfId="2" applyNumberFormat="1" applyFont="1" applyFill="1" applyBorder="1" applyAlignment="1" applyProtection="1">
      <alignment horizontal="center" vertical="center"/>
      <protection locked="0"/>
    </xf>
    <xf numFmtId="1" fontId="1" fillId="0" borderId="23" xfId="2" applyNumberFormat="1" applyFont="1" applyBorder="1" applyAlignment="1" applyProtection="1">
      <alignment horizontal="center" vertical="center"/>
      <protection locked="0"/>
    </xf>
    <xf numFmtId="1" fontId="1" fillId="0" borderId="20" xfId="2" applyNumberFormat="1" applyFont="1" applyBorder="1" applyAlignment="1" applyProtection="1">
      <alignment horizontal="center" vertical="center"/>
      <protection locked="0"/>
    </xf>
    <xf numFmtId="1" fontId="6" fillId="4" borderId="57" xfId="2" applyNumberFormat="1" applyFont="1" applyFill="1" applyBorder="1" applyAlignment="1" applyProtection="1">
      <alignment horizontal="center" vertical="center"/>
    </xf>
    <xf numFmtId="0" fontId="6" fillId="4" borderId="5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6" fillId="4" borderId="11" xfId="0" applyFont="1" applyFill="1" applyBorder="1" applyAlignment="1">
      <alignment vertical="center" wrapText="1"/>
    </xf>
    <xf numFmtId="0" fontId="6" fillId="0" borderId="33" xfId="0" applyFont="1" applyBorder="1" applyAlignment="1">
      <alignment horizontal="center" vertical="center" wrapText="1"/>
    </xf>
    <xf numFmtId="0" fontId="21" fillId="4" borderId="0" xfId="0" applyFont="1" applyFill="1" applyAlignment="1">
      <alignment horizontal="center"/>
    </xf>
    <xf numFmtId="0" fontId="21" fillId="4" borderId="0" xfId="0" applyFont="1" applyFill="1"/>
    <xf numFmtId="0" fontId="25" fillId="2" borderId="1" xfId="0" applyFont="1" applyFill="1" applyBorder="1" applyAlignment="1">
      <alignment vertical="center"/>
    </xf>
    <xf numFmtId="0" fontId="21" fillId="2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vertical="center"/>
    </xf>
    <xf numFmtId="0" fontId="21" fillId="2" borderId="5" xfId="0" applyFont="1" applyFill="1" applyBorder="1" applyAlignment="1">
      <alignment vertical="center"/>
    </xf>
    <xf numFmtId="0" fontId="21" fillId="2" borderId="6" xfId="0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1" fillId="2" borderId="7" xfId="0" applyFont="1" applyFill="1" applyBorder="1" applyAlignment="1">
      <alignment vertical="center"/>
    </xf>
    <xf numFmtId="0" fontId="21" fillId="2" borderId="8" xfId="0" applyFont="1" applyFill="1" applyBorder="1" applyAlignment="1">
      <alignment vertical="center"/>
    </xf>
    <xf numFmtId="0" fontId="21" fillId="2" borderId="9" xfId="0" applyFont="1" applyFill="1" applyBorder="1" applyAlignment="1">
      <alignment vertical="center"/>
    </xf>
    <xf numFmtId="0" fontId="23" fillId="2" borderId="7" xfId="0" applyFont="1" applyFill="1" applyBorder="1" applyAlignment="1">
      <alignment vertical="center"/>
    </xf>
    <xf numFmtId="0" fontId="26" fillId="0" borderId="0" xfId="0" applyFont="1" applyAlignment="1">
      <alignment vertical="center" wrapText="1"/>
    </xf>
    <xf numFmtId="0" fontId="27" fillId="6" borderId="27" xfId="0" applyFont="1" applyFill="1" applyBorder="1" applyAlignment="1">
      <alignment horizontal="center" vertical="center"/>
    </xf>
    <xf numFmtId="0" fontId="21" fillId="0" borderId="61" xfId="0" applyFont="1" applyBorder="1" applyAlignment="1">
      <alignment vertical="center"/>
    </xf>
    <xf numFmtId="165" fontId="21" fillId="3" borderId="62" xfId="0" applyNumberFormat="1" applyFont="1" applyFill="1" applyBorder="1" applyAlignment="1" applyProtection="1">
      <alignment horizontal="center" vertical="center"/>
      <protection locked="0"/>
    </xf>
    <xf numFmtId="0" fontId="23" fillId="2" borderId="63" xfId="0" applyFont="1" applyFill="1" applyBorder="1" applyAlignment="1">
      <alignment horizontal="center" vertical="center"/>
    </xf>
    <xf numFmtId="0" fontId="21" fillId="0" borderId="64" xfId="0" applyFont="1" applyBorder="1" applyAlignment="1">
      <alignment horizontal="left" vertical="center"/>
    </xf>
    <xf numFmtId="3" fontId="21" fillId="3" borderId="65" xfId="0" applyNumberFormat="1" applyFont="1" applyFill="1" applyBorder="1" applyAlignment="1" applyProtection="1">
      <alignment horizontal="center" vertical="center"/>
      <protection locked="0"/>
    </xf>
    <xf numFmtId="0" fontId="23" fillId="2" borderId="66" xfId="0" applyFont="1" applyFill="1" applyBorder="1" applyAlignment="1">
      <alignment horizontal="center" vertical="center"/>
    </xf>
    <xf numFmtId="9" fontId="21" fillId="3" borderId="65" xfId="2" applyFont="1" applyFill="1" applyBorder="1" applyAlignment="1" applyProtection="1">
      <alignment horizontal="center" vertical="center"/>
      <protection locked="0"/>
    </xf>
    <xf numFmtId="165" fontId="28" fillId="0" borderId="65" xfId="1" applyNumberFormat="1" applyFont="1" applyFill="1" applyBorder="1" applyAlignment="1" applyProtection="1">
      <alignment horizontal="center" vertical="center"/>
    </xf>
    <xf numFmtId="0" fontId="23" fillId="2" borderId="66" xfId="0" applyFont="1" applyFill="1" applyBorder="1" applyAlignment="1">
      <alignment vertical="center"/>
    </xf>
    <xf numFmtId="166" fontId="21" fillId="3" borderId="65" xfId="2" applyNumberFormat="1" applyFont="1" applyFill="1" applyBorder="1" applyAlignment="1" applyProtection="1">
      <alignment horizontal="center" vertical="center"/>
      <protection locked="0"/>
    </xf>
    <xf numFmtId="164" fontId="21" fillId="0" borderId="0" xfId="0" applyNumberFormat="1" applyFont="1"/>
    <xf numFmtId="0" fontId="21" fillId="0" borderId="64" xfId="0" applyFont="1" applyBorder="1" applyAlignment="1">
      <alignment horizontal="left" vertical="center" wrapText="1"/>
    </xf>
    <xf numFmtId="10" fontId="21" fillId="3" borderId="65" xfId="2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/>
    <xf numFmtId="0" fontId="21" fillId="0" borderId="67" xfId="0" applyFont="1" applyBorder="1" applyAlignment="1">
      <alignment horizontal="left" vertical="center"/>
    </xf>
    <xf numFmtId="164" fontId="28" fillId="0" borderId="68" xfId="1" applyNumberFormat="1" applyFont="1" applyFill="1" applyBorder="1" applyAlignment="1" applyProtection="1">
      <alignment horizontal="center" vertical="center"/>
    </xf>
    <xf numFmtId="0" fontId="23" fillId="2" borderId="69" xfId="0" applyFont="1" applyFill="1" applyBorder="1" applyAlignment="1">
      <alignment vertical="center"/>
    </xf>
    <xf numFmtId="0" fontId="21" fillId="0" borderId="61" xfId="0" applyFont="1" applyBorder="1" applyAlignment="1">
      <alignment horizontal="left" vertical="center" wrapText="1"/>
    </xf>
    <xf numFmtId="0" fontId="21" fillId="3" borderId="62" xfId="2" applyNumberFormat="1" applyFont="1" applyFill="1" applyBorder="1" applyAlignment="1" applyProtection="1">
      <alignment horizontal="center" vertical="center"/>
      <protection locked="0"/>
    </xf>
    <xf numFmtId="0" fontId="27" fillId="6" borderId="26" xfId="0" applyFont="1" applyFill="1" applyBorder="1" applyAlignment="1">
      <alignment horizontal="center" vertical="center"/>
    </xf>
    <xf numFmtId="0" fontId="27" fillId="10" borderId="56" xfId="0" applyFont="1" applyFill="1" applyBorder="1" applyAlignment="1">
      <alignment horizontal="center" vertical="center"/>
    </xf>
    <xf numFmtId="0" fontId="27" fillId="6" borderId="18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7" fillId="10" borderId="27" xfId="0" applyFont="1" applyFill="1" applyBorder="1" applyAlignment="1">
      <alignment horizontal="center" vertical="center"/>
    </xf>
    <xf numFmtId="165" fontId="21" fillId="3" borderId="65" xfId="0" applyNumberFormat="1" applyFont="1" applyFill="1" applyBorder="1" applyAlignment="1" applyProtection="1">
      <alignment horizontal="center" vertical="center"/>
      <protection locked="0"/>
    </xf>
    <xf numFmtId="0" fontId="21" fillId="0" borderId="77" xfId="0" applyFont="1" applyBorder="1"/>
    <xf numFmtId="0" fontId="21" fillId="0" borderId="78" xfId="0" applyFont="1" applyBorder="1"/>
    <xf numFmtId="0" fontId="21" fillId="0" borderId="79" xfId="0" applyFont="1" applyBorder="1"/>
    <xf numFmtId="9" fontId="21" fillId="3" borderId="76" xfId="2" applyFont="1" applyFill="1" applyBorder="1" applyAlignment="1" applyProtection="1">
      <alignment horizontal="center" vertical="center"/>
      <protection locked="0"/>
    </xf>
    <xf numFmtId="0" fontId="21" fillId="0" borderId="70" xfId="0" applyFont="1" applyBorder="1" applyAlignment="1">
      <alignment horizontal="left" vertical="center"/>
    </xf>
    <xf numFmtId="0" fontId="23" fillId="2" borderId="72" xfId="0" applyFont="1" applyFill="1" applyBorder="1" applyAlignment="1">
      <alignment vertical="center"/>
    </xf>
    <xf numFmtId="0" fontId="21" fillId="0" borderId="61" xfId="0" applyFont="1" applyBorder="1" applyAlignment="1">
      <alignment horizontal="left" vertical="center"/>
    </xf>
    <xf numFmtId="165" fontId="23" fillId="0" borderId="62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21" fillId="0" borderId="5" xfId="0" applyFont="1" applyBorder="1"/>
    <xf numFmtId="0" fontId="21" fillId="0" borderId="80" xfId="0" applyFont="1" applyBorder="1"/>
    <xf numFmtId="9" fontId="21" fillId="3" borderId="6" xfId="2" applyFont="1" applyFill="1" applyBorder="1" applyAlignment="1" applyProtection="1">
      <alignment horizontal="center" vertical="center"/>
      <protection locked="0"/>
    </xf>
    <xf numFmtId="165" fontId="23" fillId="4" borderId="65" xfId="0" applyNumberFormat="1" applyFont="1" applyFill="1" applyBorder="1" applyAlignment="1">
      <alignment horizontal="center" vertical="center"/>
    </xf>
    <xf numFmtId="165" fontId="23" fillId="0" borderId="65" xfId="0" applyNumberFormat="1" applyFont="1" applyBorder="1" applyAlignment="1">
      <alignment horizontal="center" vertical="center"/>
    </xf>
    <xf numFmtId="165" fontId="21" fillId="0" borderId="65" xfId="0" applyNumberFormat="1" applyFont="1" applyBorder="1" applyAlignment="1">
      <alignment horizontal="center" vertical="center"/>
    </xf>
    <xf numFmtId="0" fontId="21" fillId="0" borderId="4" xfId="0" applyFont="1" applyBorder="1"/>
    <xf numFmtId="165" fontId="21" fillId="4" borderId="65" xfId="0" applyNumberFormat="1" applyFont="1" applyFill="1" applyBorder="1" applyAlignment="1" applyProtection="1">
      <alignment horizontal="center" vertical="center"/>
      <protection locked="0"/>
    </xf>
    <xf numFmtId="165" fontId="21" fillId="4" borderId="66" xfId="0" applyNumberFormat="1" applyFont="1" applyFill="1" applyBorder="1" applyAlignment="1">
      <alignment horizontal="center" vertical="center"/>
    </xf>
    <xf numFmtId="0" fontId="23" fillId="0" borderId="64" xfId="0" applyFont="1" applyBorder="1" applyAlignment="1">
      <alignment vertical="center"/>
    </xf>
    <xf numFmtId="165" fontId="27" fillId="5" borderId="65" xfId="1" applyNumberFormat="1" applyFont="1" applyFill="1" applyBorder="1" applyAlignment="1" applyProtection="1">
      <alignment horizontal="center" vertical="center"/>
    </xf>
    <xf numFmtId="0" fontId="23" fillId="0" borderId="64" xfId="0" applyFont="1" applyBorder="1" applyAlignment="1">
      <alignment horizontal="left" vertical="center"/>
    </xf>
    <xf numFmtId="9" fontId="21" fillId="4" borderId="65" xfId="2" applyFont="1" applyFill="1" applyBorder="1" applyAlignment="1" applyProtection="1">
      <alignment horizontal="center" vertical="center"/>
      <protection locked="0"/>
    </xf>
    <xf numFmtId="0" fontId="21" fillId="0" borderId="64" xfId="0" applyFont="1" applyBorder="1" applyAlignment="1">
      <alignment vertical="center"/>
    </xf>
    <xf numFmtId="0" fontId="21" fillId="0" borderId="8" xfId="0" applyFont="1" applyBorder="1"/>
    <xf numFmtId="0" fontId="21" fillId="0" borderId="81" xfId="0" applyFont="1" applyBorder="1"/>
    <xf numFmtId="9" fontId="28" fillId="4" borderId="65" xfId="2" applyFont="1" applyFill="1" applyBorder="1" applyAlignment="1" applyProtection="1">
      <alignment horizontal="center" vertical="center"/>
    </xf>
    <xf numFmtId="3" fontId="23" fillId="4" borderId="65" xfId="0" applyNumberFormat="1" applyFont="1" applyFill="1" applyBorder="1" applyAlignment="1">
      <alignment horizontal="center" vertical="center"/>
    </xf>
    <xf numFmtId="0" fontId="23" fillId="0" borderId="67" xfId="0" applyFont="1" applyBorder="1" applyAlignment="1">
      <alignment horizontal="left" vertical="center"/>
    </xf>
    <xf numFmtId="165" fontId="27" fillId="5" borderId="68" xfId="1" applyNumberFormat="1" applyFont="1" applyFill="1" applyBorder="1" applyAlignment="1" applyProtection="1">
      <alignment horizontal="center" vertical="center"/>
    </xf>
    <xf numFmtId="9" fontId="23" fillId="4" borderId="65" xfId="2" applyFont="1" applyFill="1" applyBorder="1" applyAlignment="1" applyProtection="1">
      <alignment horizontal="center" vertical="center"/>
    </xf>
    <xf numFmtId="0" fontId="23" fillId="2" borderId="67" xfId="0" applyFont="1" applyFill="1" applyBorder="1" applyAlignment="1">
      <alignment vertical="center"/>
    </xf>
    <xf numFmtId="0" fontId="23" fillId="2" borderId="68" xfId="0" applyFont="1" applyFill="1" applyBorder="1" applyAlignment="1">
      <alignment vertical="center"/>
    </xf>
    <xf numFmtId="0" fontId="23" fillId="2" borderId="69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left" vertical="center"/>
    </xf>
    <xf numFmtId="0" fontId="23" fillId="0" borderId="0" xfId="0" applyFont="1"/>
    <xf numFmtId="0" fontId="23" fillId="0" borderId="0" xfId="0" applyFont="1" applyAlignment="1">
      <alignment horizontal="left"/>
    </xf>
    <xf numFmtId="0" fontId="27" fillId="6" borderId="1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1" fillId="14" borderId="70" xfId="0" applyFont="1" applyFill="1" applyBorder="1" applyAlignment="1">
      <alignment horizontal="center"/>
    </xf>
    <xf numFmtId="10" fontId="21" fillId="7" borderId="71" xfId="2" applyNumberFormat="1" applyFont="1" applyFill="1" applyBorder="1" applyAlignment="1" applyProtection="1">
      <alignment horizontal="center"/>
      <protection locked="0"/>
    </xf>
    <xf numFmtId="9" fontId="21" fillId="7" borderId="71" xfId="2" applyFont="1" applyFill="1" applyBorder="1" applyAlignment="1" applyProtection="1">
      <alignment horizontal="center"/>
      <protection locked="0"/>
    </xf>
    <xf numFmtId="44" fontId="21" fillId="0" borderId="71" xfId="1" applyFont="1" applyFill="1" applyBorder="1" applyAlignment="1" applyProtection="1">
      <alignment horizontal="right"/>
    </xf>
    <xf numFmtId="44" fontId="21" fillId="0" borderId="72" xfId="1" applyFont="1" applyBorder="1" applyAlignment="1" applyProtection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1" fillId="14" borderId="64" xfId="0" applyFont="1" applyFill="1" applyBorder="1" applyAlignment="1">
      <alignment horizontal="center"/>
    </xf>
    <xf numFmtId="10" fontId="21" fillId="7" borderId="65" xfId="2" applyNumberFormat="1" applyFont="1" applyFill="1" applyBorder="1" applyAlignment="1" applyProtection="1">
      <alignment horizontal="center"/>
      <protection locked="0"/>
    </xf>
    <xf numFmtId="9" fontId="21" fillId="7" borderId="65" xfId="2" applyFont="1" applyFill="1" applyBorder="1" applyAlignment="1" applyProtection="1">
      <alignment horizontal="center"/>
      <protection locked="0"/>
    </xf>
    <xf numFmtId="44" fontId="21" fillId="0" borderId="65" xfId="1" applyFont="1" applyFill="1" applyBorder="1" applyAlignment="1" applyProtection="1">
      <alignment horizontal="right"/>
    </xf>
    <xf numFmtId="44" fontId="21" fillId="0" borderId="66" xfId="1" applyFont="1" applyBorder="1" applyAlignment="1" applyProtection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7" fillId="6" borderId="64" xfId="0" applyFont="1" applyFill="1" applyBorder="1" applyAlignment="1">
      <alignment vertical="center"/>
    </xf>
    <xf numFmtId="3" fontId="27" fillId="5" borderId="65" xfId="0" applyNumberFormat="1" applyFont="1" applyFill="1" applyBorder="1" applyAlignment="1">
      <alignment horizontal="center" vertical="center"/>
    </xf>
    <xf numFmtId="3" fontId="27" fillId="5" borderId="66" xfId="0" applyNumberFormat="1" applyFont="1" applyFill="1" applyBorder="1" applyAlignment="1">
      <alignment horizontal="center" vertical="center"/>
    </xf>
    <xf numFmtId="3" fontId="27" fillId="4" borderId="0" xfId="0" applyNumberFormat="1" applyFont="1" applyFill="1" applyAlignment="1">
      <alignment horizontal="center" vertical="center"/>
    </xf>
    <xf numFmtId="0" fontId="27" fillId="6" borderId="67" xfId="0" applyFont="1" applyFill="1" applyBorder="1" applyAlignment="1">
      <alignment vertical="center"/>
    </xf>
    <xf numFmtId="165" fontId="27" fillId="5" borderId="68" xfId="1" applyNumberFormat="1" applyFont="1" applyFill="1" applyBorder="1" applyAlignment="1">
      <alignment horizontal="center" vertical="center"/>
    </xf>
    <xf numFmtId="0" fontId="23" fillId="0" borderId="68" xfId="0" applyFont="1" applyBorder="1"/>
    <xf numFmtId="0" fontId="23" fillId="0" borderId="69" xfId="0" applyFont="1" applyBorder="1"/>
    <xf numFmtId="0" fontId="23" fillId="4" borderId="0" xfId="0" applyFont="1" applyFill="1"/>
    <xf numFmtId="0" fontId="21" fillId="4" borderId="73" xfId="0" applyFont="1" applyFill="1" applyBorder="1"/>
    <xf numFmtId="0" fontId="23" fillId="14" borderId="64" xfId="0" applyFont="1" applyFill="1" applyBorder="1" applyAlignment="1">
      <alignment horizontal="center"/>
    </xf>
    <xf numFmtId="10" fontId="23" fillId="4" borderId="65" xfId="0" applyNumberFormat="1" applyFont="1" applyFill="1" applyBorder="1" applyAlignment="1">
      <alignment horizontal="center"/>
    </xf>
    <xf numFmtId="10" fontId="23" fillId="0" borderId="65" xfId="0" applyNumberFormat="1" applyFont="1" applyBorder="1" applyAlignment="1">
      <alignment horizontal="center"/>
    </xf>
    <xf numFmtId="44" fontId="23" fillId="0" borderId="65" xfId="1" applyFont="1" applyFill="1" applyBorder="1" applyAlignment="1" applyProtection="1">
      <alignment horizontal="right"/>
    </xf>
    <xf numFmtId="44" fontId="23" fillId="0" borderId="66" xfId="0" applyNumberFormat="1" applyFont="1" applyBorder="1" applyAlignment="1">
      <alignment horizontal="center" vertical="center"/>
    </xf>
    <xf numFmtId="0" fontId="27" fillId="6" borderId="74" xfId="0" applyFont="1" applyFill="1" applyBorder="1" applyAlignment="1">
      <alignment vertical="center"/>
    </xf>
    <xf numFmtId="165" fontId="27" fillId="5" borderId="75" xfId="1" applyNumberFormat="1" applyFont="1" applyFill="1" applyBorder="1" applyAlignment="1">
      <alignment horizontal="center" vertical="center"/>
    </xf>
    <xf numFmtId="0" fontId="21" fillId="0" borderId="67" xfId="0" applyFont="1" applyBorder="1"/>
    <xf numFmtId="6" fontId="27" fillId="15" borderId="68" xfId="0" applyNumberFormat="1" applyFont="1" applyFill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0" fontId="27" fillId="15" borderId="68" xfId="0" applyFont="1" applyFill="1" applyBorder="1" applyAlignment="1">
      <alignment horizontal="center" vertical="center"/>
    </xf>
    <xf numFmtId="0" fontId="21" fillId="0" borderId="0" xfId="0" quotePrefix="1" applyFont="1" applyAlignment="1">
      <alignment vertical="center"/>
    </xf>
    <xf numFmtId="10" fontId="21" fillId="0" borderId="0" xfId="0" quotePrefix="1" applyNumberFormat="1" applyFont="1" applyAlignment="1">
      <alignment horizontal="center"/>
    </xf>
    <xf numFmtId="0" fontId="27" fillId="15" borderId="45" xfId="0" applyFont="1" applyFill="1" applyBorder="1" applyAlignment="1">
      <alignment horizontal="center" vertical="center"/>
    </xf>
    <xf numFmtId="10" fontId="21" fillId="4" borderId="55" xfId="2" applyNumberFormat="1" applyFont="1" applyFill="1" applyBorder="1" applyAlignment="1" applyProtection="1">
      <alignment horizontal="center" vertical="center"/>
    </xf>
    <xf numFmtId="6" fontId="27" fillId="15" borderId="49" xfId="0" applyNumberFormat="1" applyFont="1" applyFill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9" fontId="23" fillId="4" borderId="68" xfId="2" applyFont="1" applyFill="1" applyBorder="1" applyAlignment="1">
      <alignment horizontal="center" vertical="center"/>
    </xf>
    <xf numFmtId="165" fontId="23" fillId="4" borderId="71" xfId="0" applyNumberFormat="1" applyFont="1" applyFill="1" applyBorder="1" applyAlignment="1">
      <alignment horizontal="center" vertical="center"/>
    </xf>
    <xf numFmtId="1" fontId="23" fillId="2" borderId="65" xfId="1" applyNumberFormat="1" applyFont="1" applyFill="1" applyBorder="1" applyAlignment="1" applyProtection="1">
      <alignment horizontal="center" vertical="center"/>
    </xf>
    <xf numFmtId="3" fontId="23" fillId="2" borderId="65" xfId="0" applyNumberFormat="1" applyFont="1" applyFill="1" applyBorder="1" applyAlignment="1">
      <alignment horizontal="center" vertical="center"/>
    </xf>
    <xf numFmtId="10" fontId="27" fillId="15" borderId="69" xfId="2" quotePrefix="1" applyNumberFormat="1" applyFont="1" applyFill="1" applyBorder="1" applyAlignment="1" applyProtection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1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4" borderId="0" xfId="0" applyFill="1" applyAlignment="1">
      <alignment wrapText="1"/>
    </xf>
    <xf numFmtId="44" fontId="5" fillId="4" borderId="0" xfId="1" applyFont="1" applyFill="1" applyAlignment="1" applyProtection="1">
      <alignment vertical="center"/>
    </xf>
    <xf numFmtId="0" fontId="31" fillId="4" borderId="0" xfId="0" applyFont="1" applyFill="1" applyAlignment="1">
      <alignment horizontal="left" vertical="center"/>
    </xf>
    <xf numFmtId="0" fontId="23" fillId="4" borderId="0" xfId="0" applyFont="1" applyFill="1" applyAlignment="1">
      <alignment vertical="center"/>
    </xf>
    <xf numFmtId="165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7" xfId="0" applyFont="1" applyBorder="1"/>
    <xf numFmtId="44" fontId="21" fillId="3" borderId="9" xfId="1" applyFont="1" applyFill="1" applyBorder="1" applyAlignment="1" applyProtection="1">
      <alignment horizontal="center" vertical="center"/>
      <protection locked="0"/>
    </xf>
    <xf numFmtId="0" fontId="21" fillId="4" borderId="0" xfId="2" applyNumberFormat="1" applyFont="1" applyFill="1" applyBorder="1" applyAlignment="1" applyProtection="1">
      <alignment horizontal="center" vertical="center"/>
      <protection locked="0"/>
    </xf>
    <xf numFmtId="1" fontId="1" fillId="4" borderId="54" xfId="2" applyNumberFormat="1" applyFont="1" applyFill="1" applyBorder="1" applyAlignment="1" applyProtection="1">
      <alignment horizontal="center" vertical="center"/>
      <protection locked="0"/>
    </xf>
    <xf numFmtId="1" fontId="1" fillId="4" borderId="57" xfId="2" applyNumberFormat="1" applyFont="1" applyFill="1" applyBorder="1" applyAlignment="1" applyProtection="1">
      <alignment horizontal="center" vertical="center"/>
      <protection locked="0"/>
    </xf>
    <xf numFmtId="0" fontId="19" fillId="8" borderId="35" xfId="0" applyFont="1" applyFill="1" applyBorder="1" applyAlignment="1">
      <alignment horizontal="center"/>
    </xf>
    <xf numFmtId="0" fontId="19" fillId="8" borderId="43" xfId="0" applyFont="1" applyFill="1" applyBorder="1" applyAlignment="1">
      <alignment horizontal="center"/>
    </xf>
    <xf numFmtId="0" fontId="19" fillId="8" borderId="36" xfId="0" applyFont="1" applyFill="1" applyBorder="1" applyAlignment="1">
      <alignment horizontal="center"/>
    </xf>
    <xf numFmtId="1" fontId="0" fillId="4" borderId="16" xfId="1" applyNumberFormat="1" applyFont="1" applyFill="1" applyBorder="1" applyAlignment="1" applyProtection="1">
      <alignment horizontal="center" vertical="center"/>
      <protection locked="0"/>
    </xf>
    <xf numFmtId="0" fontId="3" fillId="6" borderId="33" xfId="0" applyFont="1" applyFill="1" applyBorder="1" applyAlignment="1">
      <alignment horizontal="center"/>
    </xf>
    <xf numFmtId="0" fontId="3" fillId="6" borderId="34" xfId="0" applyFont="1" applyFill="1" applyBorder="1" applyAlignment="1">
      <alignment horizontal="center"/>
    </xf>
    <xf numFmtId="0" fontId="0" fillId="4" borderId="16" xfId="0" applyFill="1" applyBorder="1" applyAlignment="1">
      <alignment horizontal="left" vertical="center"/>
    </xf>
    <xf numFmtId="1" fontId="5" fillId="4" borderId="16" xfId="1" applyNumberFormat="1" applyFont="1" applyFill="1" applyBorder="1" applyAlignment="1" applyProtection="1">
      <alignment horizontal="center" vertical="center"/>
    </xf>
    <xf numFmtId="1" fontId="5" fillId="4" borderId="33" xfId="1" applyNumberFormat="1" applyFont="1" applyFill="1" applyBorder="1" applyAlignment="1" applyProtection="1">
      <alignment horizontal="center" vertical="center"/>
    </xf>
    <xf numFmtId="1" fontId="5" fillId="4" borderId="34" xfId="1" applyNumberFormat="1" applyFont="1" applyFill="1" applyBorder="1" applyAlignment="1" applyProtection="1">
      <alignment horizontal="center" vertical="center"/>
    </xf>
    <xf numFmtId="0" fontId="0" fillId="4" borderId="33" xfId="0" applyFill="1" applyBorder="1" applyAlignment="1">
      <alignment horizontal="left" vertical="center"/>
    </xf>
    <xf numFmtId="0" fontId="0" fillId="4" borderId="34" xfId="0" applyFill="1" applyBorder="1" applyAlignment="1">
      <alignment horizontal="left" vertical="center"/>
    </xf>
    <xf numFmtId="5" fontId="5" fillId="4" borderId="16" xfId="1" applyNumberFormat="1" applyFont="1" applyFill="1" applyBorder="1" applyAlignment="1" applyProtection="1">
      <alignment horizontal="center" vertical="center"/>
    </xf>
    <xf numFmtId="0" fontId="3" fillId="6" borderId="16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16" xfId="0" applyFont="1" applyFill="1" applyBorder="1" applyAlignment="1" applyProtection="1">
      <alignment horizontal="left" vertical="center"/>
      <protection locked="0"/>
    </xf>
    <xf numFmtId="5" fontId="5" fillId="0" borderId="34" xfId="1" applyNumberFormat="1" applyFont="1" applyFill="1" applyBorder="1" applyAlignment="1" applyProtection="1">
      <alignment horizontal="center" vertical="center"/>
    </xf>
    <xf numFmtId="5" fontId="5" fillId="0" borderId="16" xfId="1" applyNumberFormat="1" applyFont="1" applyFill="1" applyBorder="1" applyAlignment="1" applyProtection="1">
      <alignment horizontal="center" vertical="center"/>
    </xf>
    <xf numFmtId="5" fontId="5" fillId="4" borderId="21" xfId="1" applyNumberFormat="1" applyFont="1" applyFill="1" applyBorder="1" applyAlignment="1" applyProtection="1">
      <alignment horizontal="center" vertical="center"/>
      <protection locked="0"/>
    </xf>
    <xf numFmtId="0" fontId="5" fillId="4" borderId="16" xfId="0" applyFont="1" applyFill="1" applyBorder="1" applyAlignment="1">
      <alignment horizontal="left" vertical="center"/>
    </xf>
    <xf numFmtId="5" fontId="5" fillId="4" borderId="16" xfId="1" applyNumberFormat="1" applyFont="1" applyFill="1" applyBorder="1" applyAlignment="1" applyProtection="1">
      <alignment horizontal="center" vertical="center"/>
      <protection locked="0"/>
    </xf>
    <xf numFmtId="5" fontId="5" fillId="4" borderId="34" xfId="1" applyNumberFormat="1" applyFont="1" applyFill="1" applyBorder="1" applyAlignment="1" applyProtection="1">
      <alignment horizontal="center" vertical="center"/>
    </xf>
    <xf numFmtId="9" fontId="5" fillId="9" borderId="38" xfId="2" applyFont="1" applyFill="1" applyBorder="1" applyAlignment="1" applyProtection="1">
      <alignment horizontal="center" vertical="center"/>
      <protection locked="0"/>
    </xf>
    <xf numFmtId="9" fontId="5" fillId="9" borderId="34" xfId="2" applyFont="1" applyFill="1" applyBorder="1" applyAlignment="1" applyProtection="1">
      <alignment horizontal="center" vertical="center"/>
      <protection locked="0"/>
    </xf>
    <xf numFmtId="0" fontId="17" fillId="12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14" fontId="5" fillId="9" borderId="33" xfId="0" applyNumberFormat="1" applyFont="1" applyFill="1" applyBorder="1" applyAlignment="1">
      <alignment horizontal="center" vertical="center"/>
    </xf>
    <xf numFmtId="14" fontId="5" fillId="9" borderId="38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7" fillId="6" borderId="77" xfId="0" applyFont="1" applyFill="1" applyBorder="1" applyAlignment="1">
      <alignment horizontal="center" vertical="center"/>
    </xf>
    <xf numFmtId="0" fontId="27" fillId="6" borderId="83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82" xfId="0" applyFont="1" applyFill="1" applyBorder="1" applyAlignment="1">
      <alignment horizontal="center" vertical="center"/>
    </xf>
    <xf numFmtId="0" fontId="23" fillId="13" borderId="31" xfId="0" applyFont="1" applyFill="1" applyBorder="1" applyAlignment="1">
      <alignment horizontal="center"/>
    </xf>
    <xf numFmtId="0" fontId="23" fillId="13" borderId="84" xfId="0" applyFont="1" applyFill="1" applyBorder="1" applyAlignment="1">
      <alignment horizontal="center"/>
    </xf>
    <xf numFmtId="0" fontId="23" fillId="2" borderId="35" xfId="0" applyFont="1" applyFill="1" applyBorder="1" applyAlignment="1">
      <alignment horizontal="center" vertical="center"/>
    </xf>
    <xf numFmtId="0" fontId="23" fillId="2" borderId="49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right"/>
    </xf>
    <xf numFmtId="0" fontId="27" fillId="6" borderId="29" xfId="0" applyFont="1" applyFill="1" applyBorder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7" fillId="6" borderId="35" xfId="0" applyFont="1" applyFill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18" fillId="6" borderId="29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22" fillId="9" borderId="35" xfId="0" applyFont="1" applyFill="1" applyBorder="1" applyAlignment="1">
      <alignment horizontal="center" vertical="center"/>
    </xf>
    <xf numFmtId="0" fontId="22" fillId="9" borderId="43" xfId="0" applyFont="1" applyFill="1" applyBorder="1" applyAlignment="1">
      <alignment horizontal="center" vertical="center"/>
    </xf>
    <xf numFmtId="0" fontId="22" fillId="9" borderId="36" xfId="0" applyFont="1" applyFill="1" applyBorder="1" applyAlignment="1">
      <alignment horizontal="center" vertical="center"/>
    </xf>
    <xf numFmtId="0" fontId="1" fillId="0" borderId="48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164" fontId="1" fillId="0" borderId="48" xfId="1" applyNumberFormat="1" applyFont="1" applyBorder="1" applyAlignment="1" applyProtection="1">
      <alignment horizontal="center" vertical="center"/>
    </xf>
    <xf numFmtId="164" fontId="1" fillId="0" borderId="21" xfId="1" applyNumberFormat="1" applyFont="1" applyBorder="1" applyAlignment="1" applyProtection="1">
      <alignment horizontal="center" vertical="center"/>
    </xf>
    <xf numFmtId="9" fontId="1" fillId="0" borderId="48" xfId="2" applyFont="1" applyBorder="1" applyAlignment="1" applyProtection="1">
      <alignment horizontal="center" vertical="center"/>
      <protection locked="0"/>
    </xf>
    <xf numFmtId="9" fontId="1" fillId="0" borderId="21" xfId="2" applyFont="1" applyBorder="1" applyAlignment="1" applyProtection="1">
      <alignment horizontal="center" vertical="center"/>
      <protection locked="0"/>
    </xf>
    <xf numFmtId="9" fontId="1" fillId="0" borderId="10" xfId="2" applyFont="1" applyBorder="1" applyAlignment="1" applyProtection="1">
      <alignment horizontal="center" vertical="center"/>
    </xf>
    <xf numFmtId="9" fontId="1" fillId="0" borderId="13" xfId="2" applyFont="1" applyBorder="1" applyAlignment="1" applyProtection="1">
      <alignment horizontal="center" vertical="center"/>
    </xf>
    <xf numFmtId="14" fontId="1" fillId="0" borderId="48" xfId="0" applyNumberFormat="1" applyFont="1" applyBorder="1" applyAlignment="1" applyProtection="1">
      <alignment horizontal="center" vertical="center"/>
      <protection locked="0"/>
    </xf>
    <xf numFmtId="14" fontId="1" fillId="0" borderId="21" xfId="0" applyNumberFormat="1" applyFont="1" applyBorder="1" applyAlignment="1" applyProtection="1">
      <alignment horizontal="center" vertical="center"/>
      <protection locked="0"/>
    </xf>
    <xf numFmtId="0" fontId="1" fillId="0" borderId="48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164" fontId="1" fillId="0" borderId="48" xfId="1" applyNumberFormat="1" applyFont="1" applyBorder="1" applyAlignment="1" applyProtection="1">
      <alignment horizontal="center" vertical="center"/>
      <protection locked="0"/>
    </xf>
    <xf numFmtId="164" fontId="1" fillId="0" borderId="21" xfId="1" applyNumberFormat="1" applyFont="1" applyBorder="1" applyAlignment="1" applyProtection="1">
      <alignment horizontal="center" vertical="center"/>
      <protection locked="0"/>
    </xf>
    <xf numFmtId="0" fontId="6" fillId="9" borderId="35" xfId="0" applyFont="1" applyFill="1" applyBorder="1" applyAlignment="1">
      <alignment horizontal="center" vertical="center" wrapText="1"/>
    </xf>
    <xf numFmtId="0" fontId="6" fillId="9" borderId="43" xfId="0" applyFont="1" applyFill="1" applyBorder="1" applyAlignment="1">
      <alignment horizontal="center" vertical="center" wrapText="1"/>
    </xf>
    <xf numFmtId="0" fontId="6" fillId="9" borderId="36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0"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00CC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CC66"/>
      <color rgb="FF339966"/>
      <color rgb="FFFFCCCC"/>
      <color rgb="FFFFC5C5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Detalhamento!A1"/><Relationship Id="rId2" Type="http://schemas.microsoft.com/office/2007/relationships/hdphoto" Target="../media/hdphoto1.wdp"/><Relationship Id="rId1" Type="http://schemas.openxmlformats.org/officeDocument/2006/relationships/image" Target="../media/image3.png"/><Relationship Id="rId5" Type="http://schemas.microsoft.com/office/2007/relationships/hdphoto" Target="../media/hdphoto2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54768</xdr:rowOff>
    </xdr:from>
    <xdr:to>
      <xdr:col>9</xdr:col>
      <xdr:colOff>79374</xdr:colOff>
      <xdr:row>3</xdr:row>
      <xdr:rowOff>109801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EB1CC79-B751-438B-BA49-33B9B8D8C01B}"/>
            </a:ext>
          </a:extLst>
        </xdr:cNvPr>
        <xdr:cNvSpPr txBox="1"/>
      </xdr:nvSpPr>
      <xdr:spPr>
        <a:xfrm>
          <a:off x="0" y="54768"/>
          <a:ext cx="5544343" cy="6265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3600" b="1">
              <a:latin typeface="Bahnschrift" panose="020B0502040204020203" pitchFamily="34" charset="0"/>
              <a:ea typeface="Roboto" panose="02000000000000000000" pitchFamily="2" charset="0"/>
            </a:rPr>
            <a:t>Diagrama</a:t>
          </a:r>
          <a:r>
            <a:rPr lang="pt-BR" sz="3600" b="1" baseline="0">
              <a:latin typeface="Bahnschrift" panose="020B0502040204020203" pitchFamily="34" charset="0"/>
              <a:ea typeface="Roboto" panose="02000000000000000000" pitchFamily="2" charset="0"/>
            </a:rPr>
            <a:t> de Ishikawa</a:t>
          </a:r>
        </a:p>
      </xdr:txBody>
    </xdr:sp>
    <xdr:clientData/>
  </xdr:twoCellAnchor>
  <xdr:twoCellAnchor>
    <xdr:from>
      <xdr:col>0</xdr:col>
      <xdr:colOff>603251</xdr:colOff>
      <xdr:row>17</xdr:row>
      <xdr:rowOff>107156</xdr:rowOff>
    </xdr:from>
    <xdr:to>
      <xdr:col>21</xdr:col>
      <xdr:colOff>416719</xdr:colOff>
      <xdr:row>17</xdr:row>
      <xdr:rowOff>130966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D7B4A393-F8B9-488E-8014-C9D98B386B2D}"/>
            </a:ext>
          </a:extLst>
        </xdr:cNvPr>
        <xdr:cNvSpPr>
          <a:spLocks noChangeShapeType="1"/>
        </xdr:cNvSpPr>
      </xdr:nvSpPr>
      <xdr:spPr bwMode="auto">
        <a:xfrm flipV="1">
          <a:off x="603251" y="3357562"/>
          <a:ext cx="12565062" cy="23810"/>
        </a:xfrm>
        <a:prstGeom prst="line">
          <a:avLst/>
        </a:prstGeom>
        <a:noFill/>
        <a:ln w="28575">
          <a:solidFill>
            <a:schemeClr val="tx1"/>
          </a:solidFill>
          <a:round/>
          <a:headEnd/>
          <a:tailEnd type="stealth" w="lg" len="lg"/>
        </a:ln>
      </xdr:spPr>
    </xdr:sp>
    <xdr:clientData/>
  </xdr:twoCellAnchor>
  <xdr:twoCellAnchor>
    <xdr:from>
      <xdr:col>1</xdr:col>
      <xdr:colOff>570970</xdr:colOff>
      <xdr:row>18</xdr:row>
      <xdr:rowOff>15892</xdr:rowOff>
    </xdr:from>
    <xdr:to>
      <xdr:col>4</xdr:col>
      <xdr:colOff>182561</xdr:colOff>
      <xdr:row>24</xdr:row>
      <xdr:rowOff>137348</xdr:rowOff>
    </xdr:to>
    <xdr:grpSp>
      <xdr:nvGrpSpPr>
        <xdr:cNvPr id="10" name="Group 42">
          <a:extLst>
            <a:ext uri="{FF2B5EF4-FFF2-40B4-BE49-F238E27FC236}">
              <a16:creationId xmlns:a16="http://schemas.microsoft.com/office/drawing/2014/main" id="{00D1999E-6D12-4689-A21A-2D80909680E5}"/>
            </a:ext>
          </a:extLst>
        </xdr:cNvPr>
        <xdr:cNvGrpSpPr>
          <a:grpSpLocks/>
        </xdr:cNvGrpSpPr>
      </xdr:nvGrpSpPr>
      <xdr:grpSpPr bwMode="auto">
        <a:xfrm flipV="1">
          <a:off x="625399" y="3472106"/>
          <a:ext cx="1448555" cy="1291671"/>
          <a:chOff x="576" y="363"/>
          <a:chExt cx="194" cy="83"/>
        </a:xfrm>
      </xdr:grpSpPr>
      <xdr:sp macro="" textlink="">
        <xdr:nvSpPr>
          <xdr:cNvPr id="11" name="Line 43">
            <a:extLst>
              <a:ext uri="{FF2B5EF4-FFF2-40B4-BE49-F238E27FC236}">
                <a16:creationId xmlns:a16="http://schemas.microsoft.com/office/drawing/2014/main" id="{DF5FD156-64DD-21AD-C597-AFEB68A97AF9}"/>
              </a:ext>
            </a:extLst>
          </xdr:cNvPr>
          <xdr:cNvSpPr>
            <a:spLocks noChangeShapeType="1"/>
          </xdr:cNvSpPr>
        </xdr:nvSpPr>
        <xdr:spPr bwMode="auto">
          <a:xfrm>
            <a:off x="723" y="421"/>
            <a:ext cx="47" cy="25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 type="stealth" w="lg" len="lg"/>
          </a:ln>
        </xdr:spPr>
      </xdr:sp>
      <xdr:sp macro="" textlink="">
        <xdr:nvSpPr>
          <xdr:cNvPr id="12" name="Line 44">
            <a:extLst>
              <a:ext uri="{FF2B5EF4-FFF2-40B4-BE49-F238E27FC236}">
                <a16:creationId xmlns:a16="http://schemas.microsoft.com/office/drawing/2014/main" id="{AC1F9C62-EB83-BFBF-BAA4-937FC6F44431}"/>
              </a:ext>
            </a:extLst>
          </xdr:cNvPr>
          <xdr:cNvSpPr>
            <a:spLocks noChangeShapeType="1"/>
          </xdr:cNvSpPr>
        </xdr:nvSpPr>
        <xdr:spPr bwMode="auto">
          <a:xfrm>
            <a:off x="576" y="363"/>
            <a:ext cx="1" cy="59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/>
          </a:ln>
        </xdr:spPr>
        <xdr:txBody>
          <a:bodyPr/>
          <a:lstStyle/>
          <a:p>
            <a:endParaRPr lang="pt-BR"/>
          </a:p>
        </xdr:txBody>
      </xdr:sp>
      <xdr:sp macro="" textlink="">
        <xdr:nvSpPr>
          <xdr:cNvPr id="15" name="Line 47">
            <a:extLst>
              <a:ext uri="{FF2B5EF4-FFF2-40B4-BE49-F238E27FC236}">
                <a16:creationId xmlns:a16="http://schemas.microsoft.com/office/drawing/2014/main" id="{FC521147-C02C-9850-518D-68CFD3B0D97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76" y="363"/>
            <a:ext cx="84" cy="0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/>
          </a:ln>
        </xdr:spPr>
      </xdr:sp>
      <xdr:sp macro="" textlink="">
        <xdr:nvSpPr>
          <xdr:cNvPr id="16" name="Line 48">
            <a:extLst>
              <a:ext uri="{FF2B5EF4-FFF2-40B4-BE49-F238E27FC236}">
                <a16:creationId xmlns:a16="http://schemas.microsoft.com/office/drawing/2014/main" id="{208B6766-19E2-C266-D879-F74DD690114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79" y="421"/>
            <a:ext cx="145" cy="0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587387</xdr:colOff>
      <xdr:row>10</xdr:row>
      <xdr:rowOff>77545</xdr:rowOff>
    </xdr:from>
    <xdr:to>
      <xdr:col>11</xdr:col>
      <xdr:colOff>214711</xdr:colOff>
      <xdr:row>17</xdr:row>
      <xdr:rowOff>35720</xdr:rowOff>
    </xdr:to>
    <xdr:grpSp>
      <xdr:nvGrpSpPr>
        <xdr:cNvPr id="55" name="Grupo 82">
          <a:extLst>
            <a:ext uri="{FF2B5EF4-FFF2-40B4-BE49-F238E27FC236}">
              <a16:creationId xmlns:a16="http://schemas.microsoft.com/office/drawing/2014/main" id="{8D5A9BD8-CEC7-47C5-9686-09EA5D18DF2B}"/>
            </a:ext>
          </a:extLst>
        </xdr:cNvPr>
        <xdr:cNvGrpSpPr/>
      </xdr:nvGrpSpPr>
      <xdr:grpSpPr>
        <a:xfrm>
          <a:off x="4928066" y="1982545"/>
          <a:ext cx="1464288" cy="1318889"/>
          <a:chOff x="9057072" y="4969345"/>
          <a:chExt cx="3468303" cy="1612431"/>
        </a:xfrm>
      </xdr:grpSpPr>
      <xdr:grpSp>
        <xdr:nvGrpSpPr>
          <xdr:cNvPr id="56" name="Grupo 44">
            <a:extLst>
              <a:ext uri="{FF2B5EF4-FFF2-40B4-BE49-F238E27FC236}">
                <a16:creationId xmlns:a16="http://schemas.microsoft.com/office/drawing/2014/main" id="{A18D47B2-2B65-9C39-ABB5-12D6BE951E49}"/>
              </a:ext>
            </a:extLst>
          </xdr:cNvPr>
          <xdr:cNvGrpSpPr>
            <a:grpSpLocks/>
          </xdr:cNvGrpSpPr>
        </xdr:nvGrpSpPr>
        <xdr:grpSpPr bwMode="auto">
          <a:xfrm>
            <a:off x="9057072" y="4973707"/>
            <a:ext cx="3468303" cy="1608069"/>
            <a:chOff x="2980267" y="5110107"/>
            <a:chExt cx="1851025" cy="1528818"/>
          </a:xfrm>
        </xdr:grpSpPr>
        <xdr:sp macro="" textlink="">
          <xdr:nvSpPr>
            <xdr:cNvPr id="58" name="Line 14">
              <a:extLst>
                <a:ext uri="{FF2B5EF4-FFF2-40B4-BE49-F238E27FC236}">
                  <a16:creationId xmlns:a16="http://schemas.microsoft.com/office/drawing/2014/main" id="{0F7A91CB-CBE5-2364-6575-DBCC8227023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369858" y="6188075"/>
              <a:ext cx="461434" cy="450850"/>
            </a:xfrm>
            <a:prstGeom prst="line">
              <a:avLst/>
            </a:prstGeom>
            <a:noFill/>
            <a:ln w="28575">
              <a:solidFill>
                <a:sysClr val="windowText" lastClr="000000"/>
              </a:solidFill>
              <a:round/>
              <a:headEnd/>
              <a:tailEnd type="stealth" w="lg" len="lg"/>
            </a:ln>
          </xdr:spPr>
        </xdr:sp>
        <xdr:sp macro="" textlink="">
          <xdr:nvSpPr>
            <xdr:cNvPr id="59" name="Line 15">
              <a:extLst>
                <a:ext uri="{FF2B5EF4-FFF2-40B4-BE49-F238E27FC236}">
                  <a16:creationId xmlns:a16="http://schemas.microsoft.com/office/drawing/2014/main" id="{E9BBE3AA-86F6-F5DE-F117-28490A48D69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981706" y="5110107"/>
              <a:ext cx="9029" cy="1070134"/>
            </a:xfrm>
            <a:prstGeom prst="line">
              <a:avLst/>
            </a:prstGeom>
            <a:noFill/>
            <a:ln w="28575">
              <a:solidFill>
                <a:sysClr val="windowText" lastClr="000000"/>
              </a:solidFill>
              <a:round/>
              <a:headEnd/>
              <a:tailEnd/>
            </a:ln>
          </xdr:spPr>
          <xdr:txBody>
            <a:bodyPr/>
            <a:lstStyle/>
            <a:p>
              <a:endParaRPr lang="pt-BR"/>
            </a:p>
          </xdr:txBody>
        </xdr:sp>
        <xdr:sp macro="" textlink="">
          <xdr:nvSpPr>
            <xdr:cNvPr id="62" name="Line 19">
              <a:extLst>
                <a:ext uri="{FF2B5EF4-FFF2-40B4-BE49-F238E27FC236}">
                  <a16:creationId xmlns:a16="http://schemas.microsoft.com/office/drawing/2014/main" id="{3BFB11D7-1470-95B1-992F-4879AB488DF6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980267" y="6188075"/>
              <a:ext cx="1389591" cy="0"/>
            </a:xfrm>
            <a:prstGeom prst="line">
              <a:avLst/>
            </a:prstGeom>
            <a:noFill/>
            <a:ln w="28575">
              <a:solidFill>
                <a:sysClr val="windowText" lastClr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" name="Line 17">
            <a:extLst>
              <a:ext uri="{FF2B5EF4-FFF2-40B4-BE49-F238E27FC236}">
                <a16:creationId xmlns:a16="http://schemas.microsoft.com/office/drawing/2014/main" id="{AD93987A-AC01-39C2-1884-909D274C073B}"/>
              </a:ext>
            </a:extLst>
          </xdr:cNvPr>
          <xdr:cNvSpPr>
            <a:spLocks noChangeShapeType="1"/>
          </xdr:cNvSpPr>
        </xdr:nvSpPr>
        <xdr:spPr bwMode="auto">
          <a:xfrm flipH="1">
            <a:off x="9067494" y="4969345"/>
            <a:ext cx="1519724" cy="7107"/>
          </a:xfrm>
          <a:prstGeom prst="line">
            <a:avLst/>
          </a:prstGeom>
          <a:noFill/>
          <a:ln w="28575">
            <a:solidFill>
              <a:sysClr val="windowText" lastClr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586448</xdr:colOff>
      <xdr:row>18</xdr:row>
      <xdr:rowOff>15892</xdr:rowOff>
    </xdr:from>
    <xdr:to>
      <xdr:col>11</xdr:col>
      <xdr:colOff>198039</xdr:colOff>
      <xdr:row>24</xdr:row>
      <xdr:rowOff>137348</xdr:rowOff>
    </xdr:to>
    <xdr:grpSp>
      <xdr:nvGrpSpPr>
        <xdr:cNvPr id="93" name="Group 42">
          <a:extLst>
            <a:ext uri="{FF2B5EF4-FFF2-40B4-BE49-F238E27FC236}">
              <a16:creationId xmlns:a16="http://schemas.microsoft.com/office/drawing/2014/main" id="{60C3FC51-5D98-450E-9437-7CFC6988F891}"/>
            </a:ext>
          </a:extLst>
        </xdr:cNvPr>
        <xdr:cNvGrpSpPr>
          <a:grpSpLocks/>
        </xdr:cNvGrpSpPr>
      </xdr:nvGrpSpPr>
      <xdr:grpSpPr bwMode="auto">
        <a:xfrm flipV="1">
          <a:off x="4927127" y="3472106"/>
          <a:ext cx="1448555" cy="1291671"/>
          <a:chOff x="576" y="363"/>
          <a:chExt cx="194" cy="83"/>
        </a:xfrm>
      </xdr:grpSpPr>
      <xdr:sp macro="" textlink="">
        <xdr:nvSpPr>
          <xdr:cNvPr id="94" name="Line 43">
            <a:extLst>
              <a:ext uri="{FF2B5EF4-FFF2-40B4-BE49-F238E27FC236}">
                <a16:creationId xmlns:a16="http://schemas.microsoft.com/office/drawing/2014/main" id="{F883A7AB-9529-0361-D7B7-7C436C4FE4B7}"/>
              </a:ext>
            </a:extLst>
          </xdr:cNvPr>
          <xdr:cNvSpPr>
            <a:spLocks noChangeShapeType="1"/>
          </xdr:cNvSpPr>
        </xdr:nvSpPr>
        <xdr:spPr bwMode="auto">
          <a:xfrm>
            <a:off x="723" y="421"/>
            <a:ext cx="47" cy="25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 type="stealth" w="lg" len="lg"/>
          </a:ln>
        </xdr:spPr>
      </xdr:sp>
      <xdr:sp macro="" textlink="">
        <xdr:nvSpPr>
          <xdr:cNvPr id="95" name="Line 44">
            <a:extLst>
              <a:ext uri="{FF2B5EF4-FFF2-40B4-BE49-F238E27FC236}">
                <a16:creationId xmlns:a16="http://schemas.microsoft.com/office/drawing/2014/main" id="{0D56ED3F-BBC1-0D25-BF06-9E4B9C1332AB}"/>
              </a:ext>
            </a:extLst>
          </xdr:cNvPr>
          <xdr:cNvSpPr>
            <a:spLocks noChangeShapeType="1"/>
          </xdr:cNvSpPr>
        </xdr:nvSpPr>
        <xdr:spPr bwMode="auto">
          <a:xfrm>
            <a:off x="576" y="363"/>
            <a:ext cx="1" cy="59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/>
          </a:ln>
        </xdr:spPr>
        <xdr:txBody>
          <a:bodyPr/>
          <a:lstStyle/>
          <a:p>
            <a:endParaRPr lang="pt-BR"/>
          </a:p>
        </xdr:txBody>
      </xdr:sp>
      <xdr:sp macro="" textlink="">
        <xdr:nvSpPr>
          <xdr:cNvPr id="96" name="Line 47">
            <a:extLst>
              <a:ext uri="{FF2B5EF4-FFF2-40B4-BE49-F238E27FC236}">
                <a16:creationId xmlns:a16="http://schemas.microsoft.com/office/drawing/2014/main" id="{C67754BD-9ABE-B347-8DC7-4FF433E9C69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76" y="363"/>
            <a:ext cx="84" cy="0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/>
          </a:ln>
        </xdr:spPr>
      </xdr:sp>
      <xdr:sp macro="" textlink="">
        <xdr:nvSpPr>
          <xdr:cNvPr id="97" name="Line 48">
            <a:extLst>
              <a:ext uri="{FF2B5EF4-FFF2-40B4-BE49-F238E27FC236}">
                <a16:creationId xmlns:a16="http://schemas.microsoft.com/office/drawing/2014/main" id="{C4D321A9-2171-FB3D-A3A9-6BB76ED8BDA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79" y="421"/>
            <a:ext cx="145" cy="0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/>
          </a:ln>
        </xdr:spPr>
      </xdr:sp>
    </xdr:grpSp>
    <xdr:clientData/>
  </xdr:twoCellAnchor>
  <xdr:twoCellAnchor>
    <xdr:from>
      <xdr:col>15</xdr:col>
      <xdr:colOff>588577</xdr:colOff>
      <xdr:row>10</xdr:row>
      <xdr:rowOff>77545</xdr:rowOff>
    </xdr:from>
    <xdr:to>
      <xdr:col>18</xdr:col>
      <xdr:colOff>215900</xdr:colOff>
      <xdr:row>17</xdr:row>
      <xdr:rowOff>39447</xdr:rowOff>
    </xdr:to>
    <xdr:grpSp>
      <xdr:nvGrpSpPr>
        <xdr:cNvPr id="98" name="Grupo 82">
          <a:extLst>
            <a:ext uri="{FF2B5EF4-FFF2-40B4-BE49-F238E27FC236}">
              <a16:creationId xmlns:a16="http://schemas.microsoft.com/office/drawing/2014/main" id="{5488B098-14D2-40C1-AC2D-AE574F85B147}"/>
            </a:ext>
          </a:extLst>
        </xdr:cNvPr>
        <xdr:cNvGrpSpPr/>
      </xdr:nvGrpSpPr>
      <xdr:grpSpPr>
        <a:xfrm>
          <a:off x="9215506" y="1982545"/>
          <a:ext cx="1464287" cy="1322616"/>
          <a:chOff x="9057072" y="4964777"/>
          <a:chExt cx="3468303" cy="1616999"/>
        </a:xfrm>
      </xdr:grpSpPr>
      <xdr:grpSp>
        <xdr:nvGrpSpPr>
          <xdr:cNvPr id="99" name="Grupo 44">
            <a:extLst>
              <a:ext uri="{FF2B5EF4-FFF2-40B4-BE49-F238E27FC236}">
                <a16:creationId xmlns:a16="http://schemas.microsoft.com/office/drawing/2014/main" id="{7FA79DF8-3809-7861-D480-4AF4D8870B3F}"/>
              </a:ext>
            </a:extLst>
          </xdr:cNvPr>
          <xdr:cNvGrpSpPr>
            <a:grpSpLocks/>
          </xdr:cNvGrpSpPr>
        </xdr:nvGrpSpPr>
        <xdr:grpSpPr bwMode="auto">
          <a:xfrm>
            <a:off x="9057072" y="4973707"/>
            <a:ext cx="3468303" cy="1608069"/>
            <a:chOff x="2980267" y="5110107"/>
            <a:chExt cx="1851025" cy="1528818"/>
          </a:xfrm>
        </xdr:grpSpPr>
        <xdr:sp macro="" textlink="">
          <xdr:nvSpPr>
            <xdr:cNvPr id="101" name="Line 14">
              <a:extLst>
                <a:ext uri="{FF2B5EF4-FFF2-40B4-BE49-F238E27FC236}">
                  <a16:creationId xmlns:a16="http://schemas.microsoft.com/office/drawing/2014/main" id="{E1213101-030E-6979-24A6-79F0AFDED8B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369858" y="6188075"/>
              <a:ext cx="461434" cy="450850"/>
            </a:xfrm>
            <a:prstGeom prst="line">
              <a:avLst/>
            </a:prstGeom>
            <a:noFill/>
            <a:ln w="28575">
              <a:solidFill>
                <a:sysClr val="windowText" lastClr="000000"/>
              </a:solidFill>
              <a:round/>
              <a:headEnd/>
              <a:tailEnd type="stealth" w="lg" len="lg"/>
            </a:ln>
          </xdr:spPr>
        </xdr:sp>
        <xdr:sp macro="" textlink="">
          <xdr:nvSpPr>
            <xdr:cNvPr id="102" name="Line 15">
              <a:extLst>
                <a:ext uri="{FF2B5EF4-FFF2-40B4-BE49-F238E27FC236}">
                  <a16:creationId xmlns:a16="http://schemas.microsoft.com/office/drawing/2014/main" id="{DA1B3F53-1C6E-5599-33BD-A17836E15EA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981706" y="5110107"/>
              <a:ext cx="9029" cy="1070134"/>
            </a:xfrm>
            <a:prstGeom prst="line">
              <a:avLst/>
            </a:prstGeom>
            <a:noFill/>
            <a:ln w="28575">
              <a:solidFill>
                <a:sysClr val="windowText" lastClr="000000"/>
              </a:solidFill>
              <a:round/>
              <a:headEnd/>
              <a:tailEnd/>
            </a:ln>
          </xdr:spPr>
          <xdr:txBody>
            <a:bodyPr/>
            <a:lstStyle/>
            <a:p>
              <a:endParaRPr lang="pt-BR"/>
            </a:p>
          </xdr:txBody>
        </xdr:sp>
        <xdr:sp macro="" textlink="">
          <xdr:nvSpPr>
            <xdr:cNvPr id="103" name="Line 19">
              <a:extLst>
                <a:ext uri="{FF2B5EF4-FFF2-40B4-BE49-F238E27FC236}">
                  <a16:creationId xmlns:a16="http://schemas.microsoft.com/office/drawing/2014/main" id="{267354E3-31BB-3A21-0763-CA96DB16B163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980267" y="6188075"/>
              <a:ext cx="1389591" cy="0"/>
            </a:xfrm>
            <a:prstGeom prst="line">
              <a:avLst/>
            </a:prstGeom>
            <a:noFill/>
            <a:ln w="28575">
              <a:solidFill>
                <a:sysClr val="windowText" lastClr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00" name="Line 17">
            <a:extLst>
              <a:ext uri="{FF2B5EF4-FFF2-40B4-BE49-F238E27FC236}">
                <a16:creationId xmlns:a16="http://schemas.microsoft.com/office/drawing/2014/main" id="{B5608F77-A99F-38C2-BC00-B3CA047F546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101694" y="4964777"/>
            <a:ext cx="1453450" cy="0"/>
          </a:xfrm>
          <a:prstGeom prst="line">
            <a:avLst/>
          </a:prstGeom>
          <a:noFill/>
          <a:ln w="28575">
            <a:solidFill>
              <a:sysClr val="windowText" lastClr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586196</xdr:colOff>
      <xdr:row>10</xdr:row>
      <xdr:rowOff>77545</xdr:rowOff>
    </xdr:from>
    <xdr:to>
      <xdr:col>4</xdr:col>
      <xdr:colOff>213520</xdr:colOff>
      <xdr:row>17</xdr:row>
      <xdr:rowOff>39447</xdr:rowOff>
    </xdr:to>
    <xdr:grpSp>
      <xdr:nvGrpSpPr>
        <xdr:cNvPr id="104" name="Grupo 82">
          <a:extLst>
            <a:ext uri="{FF2B5EF4-FFF2-40B4-BE49-F238E27FC236}">
              <a16:creationId xmlns:a16="http://schemas.microsoft.com/office/drawing/2014/main" id="{2C743835-2B10-48DE-8DCD-BBEEA34D1298}"/>
            </a:ext>
          </a:extLst>
        </xdr:cNvPr>
        <xdr:cNvGrpSpPr/>
      </xdr:nvGrpSpPr>
      <xdr:grpSpPr>
        <a:xfrm>
          <a:off x="640625" y="1982545"/>
          <a:ext cx="1464288" cy="1322616"/>
          <a:chOff x="9057072" y="4964777"/>
          <a:chExt cx="3468303" cy="1616999"/>
        </a:xfrm>
      </xdr:grpSpPr>
      <xdr:grpSp>
        <xdr:nvGrpSpPr>
          <xdr:cNvPr id="105" name="Grupo 44">
            <a:extLst>
              <a:ext uri="{FF2B5EF4-FFF2-40B4-BE49-F238E27FC236}">
                <a16:creationId xmlns:a16="http://schemas.microsoft.com/office/drawing/2014/main" id="{97DE6F49-FA88-93B6-E1FC-46DF4C01193E}"/>
              </a:ext>
            </a:extLst>
          </xdr:cNvPr>
          <xdr:cNvGrpSpPr>
            <a:grpSpLocks/>
          </xdr:cNvGrpSpPr>
        </xdr:nvGrpSpPr>
        <xdr:grpSpPr bwMode="auto">
          <a:xfrm>
            <a:off x="9057072" y="4973707"/>
            <a:ext cx="3468303" cy="1608069"/>
            <a:chOff x="2980267" y="5110107"/>
            <a:chExt cx="1851025" cy="1528818"/>
          </a:xfrm>
        </xdr:grpSpPr>
        <xdr:sp macro="" textlink="">
          <xdr:nvSpPr>
            <xdr:cNvPr id="107" name="Line 14">
              <a:extLst>
                <a:ext uri="{FF2B5EF4-FFF2-40B4-BE49-F238E27FC236}">
                  <a16:creationId xmlns:a16="http://schemas.microsoft.com/office/drawing/2014/main" id="{5853E101-364F-C319-5260-69DBDDC520C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369858" y="6188075"/>
              <a:ext cx="461434" cy="450850"/>
            </a:xfrm>
            <a:prstGeom prst="line">
              <a:avLst/>
            </a:prstGeom>
            <a:noFill/>
            <a:ln w="28575">
              <a:solidFill>
                <a:sysClr val="windowText" lastClr="000000"/>
              </a:solidFill>
              <a:round/>
              <a:headEnd/>
              <a:tailEnd type="stealth" w="lg" len="lg"/>
            </a:ln>
          </xdr:spPr>
        </xdr:sp>
        <xdr:sp macro="" textlink="">
          <xdr:nvSpPr>
            <xdr:cNvPr id="108" name="Line 15">
              <a:extLst>
                <a:ext uri="{FF2B5EF4-FFF2-40B4-BE49-F238E27FC236}">
                  <a16:creationId xmlns:a16="http://schemas.microsoft.com/office/drawing/2014/main" id="{19AE8FFD-C278-CD1D-1EC3-448987E44FB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981706" y="5110107"/>
              <a:ext cx="9029" cy="1070134"/>
            </a:xfrm>
            <a:prstGeom prst="line">
              <a:avLst/>
            </a:prstGeom>
            <a:noFill/>
            <a:ln w="28575">
              <a:solidFill>
                <a:sysClr val="windowText" lastClr="000000"/>
              </a:solidFill>
              <a:round/>
              <a:headEnd/>
              <a:tailEnd/>
            </a:ln>
          </xdr:spPr>
          <xdr:txBody>
            <a:bodyPr/>
            <a:lstStyle/>
            <a:p>
              <a:endParaRPr lang="pt-BR"/>
            </a:p>
          </xdr:txBody>
        </xdr:sp>
        <xdr:sp macro="" textlink="">
          <xdr:nvSpPr>
            <xdr:cNvPr id="109" name="Line 19">
              <a:extLst>
                <a:ext uri="{FF2B5EF4-FFF2-40B4-BE49-F238E27FC236}">
                  <a16:creationId xmlns:a16="http://schemas.microsoft.com/office/drawing/2014/main" id="{4EA402D6-108D-84A3-00D5-597BC7AAC5BC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980267" y="6188075"/>
              <a:ext cx="1389591" cy="0"/>
            </a:xfrm>
            <a:prstGeom prst="line">
              <a:avLst/>
            </a:prstGeom>
            <a:noFill/>
            <a:ln w="28575">
              <a:solidFill>
                <a:sysClr val="windowText" lastClr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06" name="Line 17">
            <a:extLst>
              <a:ext uri="{FF2B5EF4-FFF2-40B4-BE49-F238E27FC236}">
                <a16:creationId xmlns:a16="http://schemas.microsoft.com/office/drawing/2014/main" id="{8DDA4267-4164-45CC-B412-CC938300CBE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101694" y="4964777"/>
            <a:ext cx="1453450" cy="0"/>
          </a:xfrm>
          <a:prstGeom prst="line">
            <a:avLst/>
          </a:prstGeom>
          <a:noFill/>
          <a:ln w="28575">
            <a:solidFill>
              <a:sysClr val="windowText" lastClr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15</xdr:col>
      <xdr:colOff>601926</xdr:colOff>
      <xdr:row>18</xdr:row>
      <xdr:rowOff>15892</xdr:rowOff>
    </xdr:from>
    <xdr:to>
      <xdr:col>18</xdr:col>
      <xdr:colOff>213516</xdr:colOff>
      <xdr:row>24</xdr:row>
      <xdr:rowOff>137348</xdr:rowOff>
    </xdr:to>
    <xdr:grpSp>
      <xdr:nvGrpSpPr>
        <xdr:cNvPr id="110" name="Group 42">
          <a:extLst>
            <a:ext uri="{FF2B5EF4-FFF2-40B4-BE49-F238E27FC236}">
              <a16:creationId xmlns:a16="http://schemas.microsoft.com/office/drawing/2014/main" id="{47CC9DF6-19D3-42E8-9FDE-B74D574C3C27}"/>
            </a:ext>
          </a:extLst>
        </xdr:cNvPr>
        <xdr:cNvGrpSpPr>
          <a:grpSpLocks/>
        </xdr:cNvGrpSpPr>
      </xdr:nvGrpSpPr>
      <xdr:grpSpPr bwMode="auto">
        <a:xfrm flipV="1">
          <a:off x="9228855" y="3472106"/>
          <a:ext cx="1448554" cy="1291671"/>
          <a:chOff x="576" y="363"/>
          <a:chExt cx="194" cy="83"/>
        </a:xfrm>
      </xdr:grpSpPr>
      <xdr:sp macro="" textlink="">
        <xdr:nvSpPr>
          <xdr:cNvPr id="111" name="Line 43">
            <a:extLst>
              <a:ext uri="{FF2B5EF4-FFF2-40B4-BE49-F238E27FC236}">
                <a16:creationId xmlns:a16="http://schemas.microsoft.com/office/drawing/2014/main" id="{A61E45F7-4209-6A8F-E017-A97A2F5FB698}"/>
              </a:ext>
            </a:extLst>
          </xdr:cNvPr>
          <xdr:cNvSpPr>
            <a:spLocks noChangeShapeType="1"/>
          </xdr:cNvSpPr>
        </xdr:nvSpPr>
        <xdr:spPr bwMode="auto">
          <a:xfrm>
            <a:off x="723" y="421"/>
            <a:ext cx="47" cy="25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 type="stealth" w="lg" len="lg"/>
          </a:ln>
        </xdr:spPr>
      </xdr:sp>
      <xdr:sp macro="" textlink="">
        <xdr:nvSpPr>
          <xdr:cNvPr id="112" name="Line 44">
            <a:extLst>
              <a:ext uri="{FF2B5EF4-FFF2-40B4-BE49-F238E27FC236}">
                <a16:creationId xmlns:a16="http://schemas.microsoft.com/office/drawing/2014/main" id="{6F81DA79-01C9-7229-FE6D-8FE0DDF74636}"/>
              </a:ext>
            </a:extLst>
          </xdr:cNvPr>
          <xdr:cNvSpPr>
            <a:spLocks noChangeShapeType="1"/>
          </xdr:cNvSpPr>
        </xdr:nvSpPr>
        <xdr:spPr bwMode="auto">
          <a:xfrm>
            <a:off x="576" y="363"/>
            <a:ext cx="1" cy="59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/>
          </a:ln>
        </xdr:spPr>
        <xdr:txBody>
          <a:bodyPr/>
          <a:lstStyle/>
          <a:p>
            <a:endParaRPr lang="pt-BR"/>
          </a:p>
        </xdr:txBody>
      </xdr:sp>
      <xdr:sp macro="" textlink="">
        <xdr:nvSpPr>
          <xdr:cNvPr id="113" name="Line 47">
            <a:extLst>
              <a:ext uri="{FF2B5EF4-FFF2-40B4-BE49-F238E27FC236}">
                <a16:creationId xmlns:a16="http://schemas.microsoft.com/office/drawing/2014/main" id="{A3D46FD3-CD9A-3040-79BD-6B5027B6F7C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76" y="363"/>
            <a:ext cx="84" cy="0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/>
          </a:ln>
        </xdr:spPr>
      </xdr:sp>
      <xdr:sp macro="" textlink="">
        <xdr:nvSpPr>
          <xdr:cNvPr id="114" name="Line 48">
            <a:extLst>
              <a:ext uri="{FF2B5EF4-FFF2-40B4-BE49-F238E27FC236}">
                <a16:creationId xmlns:a16="http://schemas.microsoft.com/office/drawing/2014/main" id="{D964B175-F7FC-6BAD-2402-93E4A9761C7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79" y="421"/>
            <a:ext cx="145" cy="0"/>
          </a:xfrm>
          <a:prstGeom prst="line">
            <a:avLst/>
          </a:prstGeom>
          <a:noFill/>
          <a:ln w="28575">
            <a:solidFill>
              <a:schemeClr val="tx1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6</xdr:col>
      <xdr:colOff>585107</xdr:colOff>
      <xdr:row>38</xdr:row>
      <xdr:rowOff>136072</xdr:rowOff>
    </xdr:from>
    <xdr:to>
      <xdr:col>9</xdr:col>
      <xdr:colOff>462643</xdr:colOff>
      <xdr:row>43</xdr:row>
      <xdr:rowOff>84365</xdr:rowOff>
    </xdr:to>
    <xdr:pic>
      <xdr:nvPicPr>
        <xdr:cNvPr id="147" name="Gráfico 146" descr="Seta de linha: curva ligeira estrutura de tópicos">
          <a:extLst>
            <a:ext uri="{FF2B5EF4-FFF2-40B4-BE49-F238E27FC236}">
              <a16:creationId xmlns:a16="http://schemas.microsoft.com/office/drawing/2014/main" id="{4AC5D823-2D63-4621-B2DA-0B88124AA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23507" y="1269547"/>
          <a:ext cx="1706336" cy="910318"/>
        </a:xfrm>
        <a:prstGeom prst="rect">
          <a:avLst/>
        </a:prstGeom>
      </xdr:spPr>
    </xdr:pic>
    <xdr:clientData/>
  </xdr:twoCellAnchor>
  <xdr:twoCellAnchor>
    <xdr:from>
      <xdr:col>7</xdr:col>
      <xdr:colOff>258534</xdr:colOff>
      <xdr:row>38</xdr:row>
      <xdr:rowOff>108857</xdr:rowOff>
    </xdr:from>
    <xdr:to>
      <xdr:col>9</xdr:col>
      <xdr:colOff>163284</xdr:colOff>
      <xdr:row>40</xdr:row>
      <xdr:rowOff>136072</xdr:rowOff>
    </xdr:to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BFF8BA1E-8850-46CC-B4F5-B67ABD2EA8D5}"/>
            </a:ext>
          </a:extLst>
        </xdr:cNvPr>
        <xdr:cNvSpPr txBox="1"/>
      </xdr:nvSpPr>
      <xdr:spPr>
        <a:xfrm>
          <a:off x="3306534" y="1242332"/>
          <a:ext cx="11239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13</xdr:col>
      <xdr:colOff>574221</xdr:colOff>
      <xdr:row>38</xdr:row>
      <xdr:rowOff>152401</xdr:rowOff>
    </xdr:from>
    <xdr:to>
      <xdr:col>16</xdr:col>
      <xdr:colOff>451757</xdr:colOff>
      <xdr:row>43</xdr:row>
      <xdr:rowOff>100694</xdr:rowOff>
    </xdr:to>
    <xdr:pic>
      <xdr:nvPicPr>
        <xdr:cNvPr id="149" name="Gráfico 148" descr="Seta de linha: curva ligeira estrutura de tópicos">
          <a:extLst>
            <a:ext uri="{FF2B5EF4-FFF2-40B4-BE49-F238E27FC236}">
              <a16:creationId xmlns:a16="http://schemas.microsoft.com/office/drawing/2014/main" id="{18B71553-A263-4FE7-9E37-71EA94137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279821" y="1285876"/>
          <a:ext cx="1706336" cy="910318"/>
        </a:xfrm>
        <a:prstGeom prst="rect">
          <a:avLst/>
        </a:prstGeom>
      </xdr:spPr>
    </xdr:pic>
    <xdr:clientData/>
  </xdr:twoCellAnchor>
  <xdr:twoCellAnchor>
    <xdr:from>
      <xdr:col>14</xdr:col>
      <xdr:colOff>247648</xdr:colOff>
      <xdr:row>38</xdr:row>
      <xdr:rowOff>125186</xdr:rowOff>
    </xdr:from>
    <xdr:to>
      <xdr:col>16</xdr:col>
      <xdr:colOff>152398</xdr:colOff>
      <xdr:row>40</xdr:row>
      <xdr:rowOff>152401</xdr:rowOff>
    </xdr:to>
    <xdr:sp macro="" textlink="">
      <xdr:nvSpPr>
        <xdr:cNvPr id="150" name="CaixaDeTexto 149">
          <a:extLst>
            <a:ext uri="{FF2B5EF4-FFF2-40B4-BE49-F238E27FC236}">
              <a16:creationId xmlns:a16="http://schemas.microsoft.com/office/drawing/2014/main" id="{F93EF580-6E68-46BE-B941-70CA5404438D}"/>
            </a:ext>
          </a:extLst>
        </xdr:cNvPr>
        <xdr:cNvSpPr txBox="1"/>
      </xdr:nvSpPr>
      <xdr:spPr>
        <a:xfrm>
          <a:off x="7562848" y="1258661"/>
          <a:ext cx="11239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21</xdr:col>
      <xdr:colOff>5442</xdr:colOff>
      <xdr:row>38</xdr:row>
      <xdr:rowOff>155122</xdr:rowOff>
    </xdr:from>
    <xdr:to>
      <xdr:col>23</xdr:col>
      <xdr:colOff>495299</xdr:colOff>
      <xdr:row>43</xdr:row>
      <xdr:rowOff>103415</xdr:rowOff>
    </xdr:to>
    <xdr:pic>
      <xdr:nvPicPr>
        <xdr:cNvPr id="151" name="Gráfico 150" descr="Seta de linha: curva ligeira estrutura de tópicos">
          <a:extLst>
            <a:ext uri="{FF2B5EF4-FFF2-40B4-BE49-F238E27FC236}">
              <a16:creationId xmlns:a16="http://schemas.microsoft.com/office/drawing/2014/main" id="{A42E9FC6-FB23-4586-AE8E-ECB01AF98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87842" y="1288597"/>
          <a:ext cx="1709057" cy="910318"/>
        </a:xfrm>
        <a:prstGeom prst="rect">
          <a:avLst/>
        </a:prstGeom>
      </xdr:spPr>
    </xdr:pic>
    <xdr:clientData/>
  </xdr:twoCellAnchor>
  <xdr:twoCellAnchor>
    <xdr:from>
      <xdr:col>21</xdr:col>
      <xdr:colOff>291190</xdr:colOff>
      <xdr:row>38</xdr:row>
      <xdr:rowOff>127907</xdr:rowOff>
    </xdr:from>
    <xdr:to>
      <xdr:col>23</xdr:col>
      <xdr:colOff>195940</xdr:colOff>
      <xdr:row>40</xdr:row>
      <xdr:rowOff>155122</xdr:rowOff>
    </xdr:to>
    <xdr:sp macro="" textlink="">
      <xdr:nvSpPr>
        <xdr:cNvPr id="152" name="CaixaDeTexto 151">
          <a:extLst>
            <a:ext uri="{FF2B5EF4-FFF2-40B4-BE49-F238E27FC236}">
              <a16:creationId xmlns:a16="http://schemas.microsoft.com/office/drawing/2014/main" id="{D69C4D11-F34C-45DD-8133-ED45A79F0A03}"/>
            </a:ext>
          </a:extLst>
        </xdr:cNvPr>
        <xdr:cNvSpPr txBox="1"/>
      </xdr:nvSpPr>
      <xdr:spPr>
        <a:xfrm>
          <a:off x="11873590" y="1261382"/>
          <a:ext cx="11239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28</xdr:col>
      <xdr:colOff>62592</xdr:colOff>
      <xdr:row>38</xdr:row>
      <xdr:rowOff>130630</xdr:rowOff>
    </xdr:from>
    <xdr:to>
      <xdr:col>30</xdr:col>
      <xdr:colOff>552449</xdr:colOff>
      <xdr:row>43</xdr:row>
      <xdr:rowOff>78923</xdr:rowOff>
    </xdr:to>
    <xdr:pic>
      <xdr:nvPicPr>
        <xdr:cNvPr id="153" name="Gráfico 152" descr="Seta de linha: curva ligeira estrutura de tópicos">
          <a:extLst>
            <a:ext uri="{FF2B5EF4-FFF2-40B4-BE49-F238E27FC236}">
              <a16:creationId xmlns:a16="http://schemas.microsoft.com/office/drawing/2014/main" id="{EE0B7B71-CFEA-415A-9CC7-6B79A6512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912192" y="1264105"/>
          <a:ext cx="1709057" cy="910318"/>
        </a:xfrm>
        <a:prstGeom prst="rect">
          <a:avLst/>
        </a:prstGeom>
      </xdr:spPr>
    </xdr:pic>
    <xdr:clientData/>
  </xdr:twoCellAnchor>
  <xdr:twoCellAnchor>
    <xdr:from>
      <xdr:col>28</xdr:col>
      <xdr:colOff>348340</xdr:colOff>
      <xdr:row>38</xdr:row>
      <xdr:rowOff>103415</xdr:rowOff>
    </xdr:from>
    <xdr:to>
      <xdr:col>30</xdr:col>
      <xdr:colOff>253090</xdr:colOff>
      <xdr:row>40</xdr:row>
      <xdr:rowOff>130630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AB9B2384-06E6-43DA-8DF2-3ED24F7D4B94}"/>
            </a:ext>
          </a:extLst>
        </xdr:cNvPr>
        <xdr:cNvSpPr txBox="1"/>
      </xdr:nvSpPr>
      <xdr:spPr>
        <a:xfrm>
          <a:off x="16197940" y="1236890"/>
          <a:ext cx="11239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6</xdr:col>
      <xdr:colOff>587828</xdr:colOff>
      <xdr:row>46</xdr:row>
      <xdr:rowOff>138794</xdr:rowOff>
    </xdr:from>
    <xdr:to>
      <xdr:col>9</xdr:col>
      <xdr:colOff>465364</xdr:colOff>
      <xdr:row>51</xdr:row>
      <xdr:rowOff>87087</xdr:rowOff>
    </xdr:to>
    <xdr:pic>
      <xdr:nvPicPr>
        <xdr:cNvPr id="155" name="Gráfico 154" descr="Seta de linha: curva ligeira estrutura de tópicos">
          <a:extLst>
            <a:ext uri="{FF2B5EF4-FFF2-40B4-BE49-F238E27FC236}">
              <a16:creationId xmlns:a16="http://schemas.microsoft.com/office/drawing/2014/main" id="{91DD4CC5-4D6C-4F8E-9DDB-33B7C789F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26228" y="2815319"/>
          <a:ext cx="1706336" cy="910318"/>
        </a:xfrm>
        <a:prstGeom prst="rect">
          <a:avLst/>
        </a:prstGeom>
      </xdr:spPr>
    </xdr:pic>
    <xdr:clientData/>
  </xdr:twoCellAnchor>
  <xdr:twoCellAnchor>
    <xdr:from>
      <xdr:col>7</xdr:col>
      <xdr:colOff>261255</xdr:colOff>
      <xdr:row>46</xdr:row>
      <xdr:rowOff>111579</xdr:rowOff>
    </xdr:from>
    <xdr:to>
      <xdr:col>9</xdr:col>
      <xdr:colOff>166005</xdr:colOff>
      <xdr:row>48</xdr:row>
      <xdr:rowOff>138794</xdr:rowOff>
    </xdr:to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85FA6224-ED18-4CB6-8946-B65A48A17FFE}"/>
            </a:ext>
          </a:extLst>
        </xdr:cNvPr>
        <xdr:cNvSpPr txBox="1"/>
      </xdr:nvSpPr>
      <xdr:spPr>
        <a:xfrm>
          <a:off x="3309255" y="2788104"/>
          <a:ext cx="11239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13</xdr:col>
      <xdr:colOff>576942</xdr:colOff>
      <xdr:row>46</xdr:row>
      <xdr:rowOff>155123</xdr:rowOff>
    </xdr:from>
    <xdr:to>
      <xdr:col>16</xdr:col>
      <xdr:colOff>454478</xdr:colOff>
      <xdr:row>51</xdr:row>
      <xdr:rowOff>103416</xdr:rowOff>
    </xdr:to>
    <xdr:pic>
      <xdr:nvPicPr>
        <xdr:cNvPr id="157" name="Gráfico 156" descr="Seta de linha: curva ligeira estrutura de tópicos">
          <a:extLst>
            <a:ext uri="{FF2B5EF4-FFF2-40B4-BE49-F238E27FC236}">
              <a16:creationId xmlns:a16="http://schemas.microsoft.com/office/drawing/2014/main" id="{F42E5971-B9C3-4CD9-ADF6-84C1AF0B8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282542" y="2831648"/>
          <a:ext cx="1706336" cy="910318"/>
        </a:xfrm>
        <a:prstGeom prst="rect">
          <a:avLst/>
        </a:prstGeom>
      </xdr:spPr>
    </xdr:pic>
    <xdr:clientData/>
  </xdr:twoCellAnchor>
  <xdr:twoCellAnchor>
    <xdr:from>
      <xdr:col>14</xdr:col>
      <xdr:colOff>250369</xdr:colOff>
      <xdr:row>46</xdr:row>
      <xdr:rowOff>127908</xdr:rowOff>
    </xdr:from>
    <xdr:to>
      <xdr:col>16</xdr:col>
      <xdr:colOff>155119</xdr:colOff>
      <xdr:row>48</xdr:row>
      <xdr:rowOff>155123</xdr:rowOff>
    </xdr:to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79DC2677-E477-4B55-A323-1CA43E36EC82}"/>
            </a:ext>
          </a:extLst>
        </xdr:cNvPr>
        <xdr:cNvSpPr txBox="1"/>
      </xdr:nvSpPr>
      <xdr:spPr>
        <a:xfrm>
          <a:off x="7565569" y="2804433"/>
          <a:ext cx="11239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21</xdr:col>
      <xdr:colOff>8163</xdr:colOff>
      <xdr:row>46</xdr:row>
      <xdr:rowOff>157844</xdr:rowOff>
    </xdr:from>
    <xdr:to>
      <xdr:col>23</xdr:col>
      <xdr:colOff>498020</xdr:colOff>
      <xdr:row>51</xdr:row>
      <xdr:rowOff>106137</xdr:rowOff>
    </xdr:to>
    <xdr:pic>
      <xdr:nvPicPr>
        <xdr:cNvPr id="159" name="Gráfico 158" descr="Seta de linha: curva ligeira estrutura de tópicos">
          <a:extLst>
            <a:ext uri="{FF2B5EF4-FFF2-40B4-BE49-F238E27FC236}">
              <a16:creationId xmlns:a16="http://schemas.microsoft.com/office/drawing/2014/main" id="{D63A15E7-88CC-4A61-96D7-66DC6C477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90563" y="2834369"/>
          <a:ext cx="1709057" cy="910318"/>
        </a:xfrm>
        <a:prstGeom prst="rect">
          <a:avLst/>
        </a:prstGeom>
      </xdr:spPr>
    </xdr:pic>
    <xdr:clientData/>
  </xdr:twoCellAnchor>
  <xdr:twoCellAnchor>
    <xdr:from>
      <xdr:col>21</xdr:col>
      <xdr:colOff>293911</xdr:colOff>
      <xdr:row>46</xdr:row>
      <xdr:rowOff>130629</xdr:rowOff>
    </xdr:from>
    <xdr:to>
      <xdr:col>23</xdr:col>
      <xdr:colOff>198661</xdr:colOff>
      <xdr:row>48</xdr:row>
      <xdr:rowOff>157844</xdr:rowOff>
    </xdr:to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95450DA7-A2CE-4420-A319-E2FC20F1C2D6}"/>
            </a:ext>
          </a:extLst>
        </xdr:cNvPr>
        <xdr:cNvSpPr txBox="1"/>
      </xdr:nvSpPr>
      <xdr:spPr>
        <a:xfrm>
          <a:off x="11876311" y="2807154"/>
          <a:ext cx="11239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28</xdr:col>
      <xdr:colOff>65313</xdr:colOff>
      <xdr:row>46</xdr:row>
      <xdr:rowOff>133352</xdr:rowOff>
    </xdr:from>
    <xdr:to>
      <xdr:col>30</xdr:col>
      <xdr:colOff>555170</xdr:colOff>
      <xdr:row>51</xdr:row>
      <xdr:rowOff>81645</xdr:rowOff>
    </xdr:to>
    <xdr:pic>
      <xdr:nvPicPr>
        <xdr:cNvPr id="161" name="Gráfico 160" descr="Seta de linha: curva ligeira estrutura de tópicos">
          <a:extLst>
            <a:ext uri="{FF2B5EF4-FFF2-40B4-BE49-F238E27FC236}">
              <a16:creationId xmlns:a16="http://schemas.microsoft.com/office/drawing/2014/main" id="{F6D179ED-9F3E-4D48-B97D-B203351D8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914913" y="2809877"/>
          <a:ext cx="1709057" cy="910318"/>
        </a:xfrm>
        <a:prstGeom prst="rect">
          <a:avLst/>
        </a:prstGeom>
      </xdr:spPr>
    </xdr:pic>
    <xdr:clientData/>
  </xdr:twoCellAnchor>
  <xdr:twoCellAnchor>
    <xdr:from>
      <xdr:col>28</xdr:col>
      <xdr:colOff>351061</xdr:colOff>
      <xdr:row>46</xdr:row>
      <xdr:rowOff>106137</xdr:rowOff>
    </xdr:from>
    <xdr:to>
      <xdr:col>30</xdr:col>
      <xdr:colOff>255811</xdr:colOff>
      <xdr:row>48</xdr:row>
      <xdr:rowOff>133352</xdr:rowOff>
    </xdr:to>
    <xdr:sp macro="" textlink="">
      <xdr:nvSpPr>
        <xdr:cNvPr id="162" name="CaixaDeTexto 161">
          <a:extLst>
            <a:ext uri="{FF2B5EF4-FFF2-40B4-BE49-F238E27FC236}">
              <a16:creationId xmlns:a16="http://schemas.microsoft.com/office/drawing/2014/main" id="{4F551C3A-A45D-441A-96B4-8CB0DB8CD4BA}"/>
            </a:ext>
          </a:extLst>
        </xdr:cNvPr>
        <xdr:cNvSpPr txBox="1"/>
      </xdr:nvSpPr>
      <xdr:spPr>
        <a:xfrm>
          <a:off x="16200661" y="2782662"/>
          <a:ext cx="11239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6</xdr:col>
      <xdr:colOff>590549</xdr:colOff>
      <xdr:row>54</xdr:row>
      <xdr:rowOff>114300</xdr:rowOff>
    </xdr:from>
    <xdr:to>
      <xdr:col>9</xdr:col>
      <xdr:colOff>468085</xdr:colOff>
      <xdr:row>59</xdr:row>
      <xdr:rowOff>72118</xdr:rowOff>
    </xdr:to>
    <xdr:pic>
      <xdr:nvPicPr>
        <xdr:cNvPr id="163" name="Gráfico 162" descr="Seta de linha: curva ligeira estrutura de tópicos">
          <a:extLst>
            <a:ext uri="{FF2B5EF4-FFF2-40B4-BE49-F238E27FC236}">
              <a16:creationId xmlns:a16="http://schemas.microsoft.com/office/drawing/2014/main" id="{A6738325-7223-45BF-9E95-0F805A0E7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28949" y="4333875"/>
          <a:ext cx="1706336" cy="910318"/>
        </a:xfrm>
        <a:prstGeom prst="rect">
          <a:avLst/>
        </a:prstGeom>
      </xdr:spPr>
    </xdr:pic>
    <xdr:clientData/>
  </xdr:twoCellAnchor>
  <xdr:twoCellAnchor>
    <xdr:from>
      <xdr:col>7</xdr:col>
      <xdr:colOff>263976</xdr:colOff>
      <xdr:row>54</xdr:row>
      <xdr:rowOff>87085</xdr:rowOff>
    </xdr:from>
    <xdr:to>
      <xdr:col>9</xdr:col>
      <xdr:colOff>168726</xdr:colOff>
      <xdr:row>56</xdr:row>
      <xdr:rowOff>114300</xdr:rowOff>
    </xdr:to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FA919B73-C9BA-43D5-A3D9-321AE0C19EAA}"/>
            </a:ext>
          </a:extLst>
        </xdr:cNvPr>
        <xdr:cNvSpPr txBox="1"/>
      </xdr:nvSpPr>
      <xdr:spPr>
        <a:xfrm>
          <a:off x="3311976" y="4306660"/>
          <a:ext cx="11239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13</xdr:col>
      <xdr:colOff>579663</xdr:colOff>
      <xdr:row>54</xdr:row>
      <xdr:rowOff>130629</xdr:rowOff>
    </xdr:from>
    <xdr:to>
      <xdr:col>16</xdr:col>
      <xdr:colOff>457199</xdr:colOff>
      <xdr:row>59</xdr:row>
      <xdr:rowOff>88447</xdr:rowOff>
    </xdr:to>
    <xdr:pic>
      <xdr:nvPicPr>
        <xdr:cNvPr id="165" name="Gráfico 164" descr="Seta de linha: curva ligeira estrutura de tópicos">
          <a:extLst>
            <a:ext uri="{FF2B5EF4-FFF2-40B4-BE49-F238E27FC236}">
              <a16:creationId xmlns:a16="http://schemas.microsoft.com/office/drawing/2014/main" id="{04FE69C7-16E1-49D2-B8BD-2655AD53D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285263" y="4350204"/>
          <a:ext cx="1706336" cy="910318"/>
        </a:xfrm>
        <a:prstGeom prst="rect">
          <a:avLst/>
        </a:prstGeom>
      </xdr:spPr>
    </xdr:pic>
    <xdr:clientData/>
  </xdr:twoCellAnchor>
  <xdr:twoCellAnchor>
    <xdr:from>
      <xdr:col>14</xdr:col>
      <xdr:colOff>253090</xdr:colOff>
      <xdr:row>54</xdr:row>
      <xdr:rowOff>103414</xdr:rowOff>
    </xdr:from>
    <xdr:to>
      <xdr:col>16</xdr:col>
      <xdr:colOff>157840</xdr:colOff>
      <xdr:row>56</xdr:row>
      <xdr:rowOff>130629</xdr:rowOff>
    </xdr:to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1D9EC978-FFC6-40FE-BDBC-4574E4F9A6BF}"/>
            </a:ext>
          </a:extLst>
        </xdr:cNvPr>
        <xdr:cNvSpPr txBox="1"/>
      </xdr:nvSpPr>
      <xdr:spPr>
        <a:xfrm>
          <a:off x="7568290" y="4322989"/>
          <a:ext cx="11239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21</xdr:col>
      <xdr:colOff>10884</xdr:colOff>
      <xdr:row>54</xdr:row>
      <xdr:rowOff>133350</xdr:rowOff>
    </xdr:from>
    <xdr:to>
      <xdr:col>23</xdr:col>
      <xdr:colOff>500741</xdr:colOff>
      <xdr:row>59</xdr:row>
      <xdr:rowOff>91168</xdr:rowOff>
    </xdr:to>
    <xdr:pic>
      <xdr:nvPicPr>
        <xdr:cNvPr id="167" name="Gráfico 166" descr="Seta de linha: curva ligeira estrutura de tópicos">
          <a:extLst>
            <a:ext uri="{FF2B5EF4-FFF2-40B4-BE49-F238E27FC236}">
              <a16:creationId xmlns:a16="http://schemas.microsoft.com/office/drawing/2014/main" id="{0BB1459C-7BA0-469B-8B87-2CDADF715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93284" y="4352925"/>
          <a:ext cx="1709057" cy="910318"/>
        </a:xfrm>
        <a:prstGeom prst="rect">
          <a:avLst/>
        </a:prstGeom>
      </xdr:spPr>
    </xdr:pic>
    <xdr:clientData/>
  </xdr:twoCellAnchor>
  <xdr:twoCellAnchor>
    <xdr:from>
      <xdr:col>21</xdr:col>
      <xdr:colOff>296632</xdr:colOff>
      <xdr:row>54</xdr:row>
      <xdr:rowOff>106135</xdr:rowOff>
    </xdr:from>
    <xdr:to>
      <xdr:col>23</xdr:col>
      <xdr:colOff>201382</xdr:colOff>
      <xdr:row>56</xdr:row>
      <xdr:rowOff>133350</xdr:rowOff>
    </xdr:to>
    <xdr:sp macro="" textlink="">
      <xdr:nvSpPr>
        <xdr:cNvPr id="168" name="CaixaDeTexto 167">
          <a:extLst>
            <a:ext uri="{FF2B5EF4-FFF2-40B4-BE49-F238E27FC236}">
              <a16:creationId xmlns:a16="http://schemas.microsoft.com/office/drawing/2014/main" id="{54596729-B467-4AAC-A308-2A2F229C3807}"/>
            </a:ext>
          </a:extLst>
        </xdr:cNvPr>
        <xdr:cNvSpPr txBox="1"/>
      </xdr:nvSpPr>
      <xdr:spPr>
        <a:xfrm>
          <a:off x="11879032" y="4325710"/>
          <a:ext cx="11239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>
    <xdr:from>
      <xdr:col>0</xdr:col>
      <xdr:colOff>34969</xdr:colOff>
      <xdr:row>31</xdr:row>
      <xdr:rowOff>55811</xdr:rowOff>
    </xdr:from>
    <xdr:to>
      <xdr:col>9</xdr:col>
      <xdr:colOff>114343</xdr:colOff>
      <xdr:row>34</xdr:row>
      <xdr:rowOff>110845</xdr:rowOff>
    </xdr:to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B20CDA73-D87E-4590-A8A6-91BDF7C730D7}"/>
            </a:ext>
          </a:extLst>
        </xdr:cNvPr>
        <xdr:cNvSpPr txBox="1"/>
      </xdr:nvSpPr>
      <xdr:spPr>
        <a:xfrm>
          <a:off x="34969" y="6097010"/>
          <a:ext cx="5598655" cy="6421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3600" b="1">
              <a:latin typeface="Bahnschrift" panose="020B0502040204020203" pitchFamily="34" charset="0"/>
              <a:ea typeface="Roboto" panose="02000000000000000000" pitchFamily="2" charset="0"/>
            </a:rPr>
            <a:t>5 Porquês</a:t>
          </a:r>
          <a:endParaRPr lang="pt-BR" sz="3600" b="1" baseline="0">
            <a:latin typeface="Bahnschrift" panose="020B0502040204020203" pitchFamily="34" charset="0"/>
            <a:ea typeface="Roboto" panose="02000000000000000000" pitchFamily="2" charset="0"/>
          </a:endParaRPr>
        </a:p>
      </xdr:txBody>
    </xdr:sp>
    <xdr:clientData/>
  </xdr:twoCellAnchor>
  <xdr:twoCellAnchor editAs="oneCell">
    <xdr:from>
      <xdr:col>7</xdr:col>
      <xdr:colOff>31750</xdr:colOff>
      <xdr:row>62</xdr:row>
      <xdr:rowOff>127907</xdr:rowOff>
    </xdr:from>
    <xdr:to>
      <xdr:col>9</xdr:col>
      <xdr:colOff>512536</xdr:colOff>
      <xdr:row>67</xdr:row>
      <xdr:rowOff>92075</xdr:rowOff>
    </xdr:to>
    <xdr:pic>
      <xdr:nvPicPr>
        <xdr:cNvPr id="196" name="Gráfico 195" descr="Seta de linha: curva ligeira estrutura de tópicos">
          <a:extLst>
            <a:ext uri="{FF2B5EF4-FFF2-40B4-BE49-F238E27FC236}">
              <a16:creationId xmlns:a16="http://schemas.microsoft.com/office/drawing/2014/main" id="{6A24F912-867A-4B0D-BB66-9CF3FCFC0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54500" y="11907157"/>
          <a:ext cx="1687286" cy="916668"/>
        </a:xfrm>
        <a:prstGeom prst="rect">
          <a:avLst/>
        </a:prstGeom>
      </xdr:spPr>
    </xdr:pic>
    <xdr:clientData/>
  </xdr:twoCellAnchor>
  <xdr:twoCellAnchor>
    <xdr:from>
      <xdr:col>7</xdr:col>
      <xdr:colOff>308427</xdr:colOff>
      <xdr:row>62</xdr:row>
      <xdr:rowOff>100692</xdr:rowOff>
    </xdr:from>
    <xdr:to>
      <xdr:col>9</xdr:col>
      <xdr:colOff>213177</xdr:colOff>
      <xdr:row>64</xdr:row>
      <xdr:rowOff>127907</xdr:rowOff>
    </xdr:to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63AD6950-390A-4A15-B45D-F30AE2E6B774}"/>
            </a:ext>
          </a:extLst>
        </xdr:cNvPr>
        <xdr:cNvSpPr txBox="1"/>
      </xdr:nvSpPr>
      <xdr:spPr>
        <a:xfrm>
          <a:off x="4531177" y="11879942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14</xdr:col>
      <xdr:colOff>20864</xdr:colOff>
      <xdr:row>62</xdr:row>
      <xdr:rowOff>144236</xdr:rowOff>
    </xdr:from>
    <xdr:to>
      <xdr:col>16</xdr:col>
      <xdr:colOff>501650</xdr:colOff>
      <xdr:row>67</xdr:row>
      <xdr:rowOff>108404</xdr:rowOff>
    </xdr:to>
    <xdr:pic>
      <xdr:nvPicPr>
        <xdr:cNvPr id="198" name="Gráfico 197" descr="Seta de linha: curva ligeira estrutura de tópicos">
          <a:extLst>
            <a:ext uri="{FF2B5EF4-FFF2-40B4-BE49-F238E27FC236}">
              <a16:creationId xmlns:a16="http://schemas.microsoft.com/office/drawing/2014/main" id="{7FE70842-F5AF-4806-8391-AEB51CCB3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66364" y="11923486"/>
          <a:ext cx="1687286" cy="916668"/>
        </a:xfrm>
        <a:prstGeom prst="rect">
          <a:avLst/>
        </a:prstGeom>
      </xdr:spPr>
    </xdr:pic>
    <xdr:clientData/>
  </xdr:twoCellAnchor>
  <xdr:twoCellAnchor>
    <xdr:from>
      <xdr:col>14</xdr:col>
      <xdr:colOff>297541</xdr:colOff>
      <xdr:row>62</xdr:row>
      <xdr:rowOff>117021</xdr:rowOff>
    </xdr:from>
    <xdr:to>
      <xdr:col>16</xdr:col>
      <xdr:colOff>202291</xdr:colOff>
      <xdr:row>64</xdr:row>
      <xdr:rowOff>144236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C8827AD6-DD45-4639-909B-A4962D1B8B13}"/>
            </a:ext>
          </a:extLst>
        </xdr:cNvPr>
        <xdr:cNvSpPr txBox="1"/>
      </xdr:nvSpPr>
      <xdr:spPr>
        <a:xfrm>
          <a:off x="8743041" y="11896271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21</xdr:col>
      <xdr:colOff>55335</xdr:colOff>
      <xdr:row>62</xdr:row>
      <xdr:rowOff>146957</xdr:rowOff>
    </xdr:from>
    <xdr:to>
      <xdr:col>23</xdr:col>
      <xdr:colOff>545192</xdr:colOff>
      <xdr:row>67</xdr:row>
      <xdr:rowOff>111125</xdr:rowOff>
    </xdr:to>
    <xdr:pic>
      <xdr:nvPicPr>
        <xdr:cNvPr id="200" name="Gráfico 199" descr="Seta de linha: curva ligeira estrutura de tópicos">
          <a:extLst>
            <a:ext uri="{FF2B5EF4-FFF2-40B4-BE49-F238E27FC236}">
              <a16:creationId xmlns:a16="http://schemas.microsoft.com/office/drawing/2014/main" id="{A8964107-7057-47EC-867A-189B2ECB6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723585" y="11926207"/>
          <a:ext cx="1696357" cy="916668"/>
        </a:xfrm>
        <a:prstGeom prst="rect">
          <a:avLst/>
        </a:prstGeom>
      </xdr:spPr>
    </xdr:pic>
    <xdr:clientData/>
  </xdr:twoCellAnchor>
  <xdr:twoCellAnchor>
    <xdr:from>
      <xdr:col>21</xdr:col>
      <xdr:colOff>341083</xdr:colOff>
      <xdr:row>62</xdr:row>
      <xdr:rowOff>119742</xdr:rowOff>
    </xdr:from>
    <xdr:to>
      <xdr:col>23</xdr:col>
      <xdr:colOff>245833</xdr:colOff>
      <xdr:row>64</xdr:row>
      <xdr:rowOff>146957</xdr:rowOff>
    </xdr:to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78735E19-2334-40BC-B72C-ECE4658385CF}"/>
            </a:ext>
          </a:extLst>
        </xdr:cNvPr>
        <xdr:cNvSpPr txBox="1"/>
      </xdr:nvSpPr>
      <xdr:spPr>
        <a:xfrm>
          <a:off x="13009333" y="11898992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28</xdr:col>
      <xdr:colOff>112485</xdr:colOff>
      <xdr:row>62</xdr:row>
      <xdr:rowOff>122465</xdr:rowOff>
    </xdr:from>
    <xdr:to>
      <xdr:col>30</xdr:col>
      <xdr:colOff>602342</xdr:colOff>
      <xdr:row>67</xdr:row>
      <xdr:rowOff>86633</xdr:rowOff>
    </xdr:to>
    <xdr:pic>
      <xdr:nvPicPr>
        <xdr:cNvPr id="202" name="Gráfico 201" descr="Seta de linha: curva ligeira estrutura de tópicos">
          <a:extLst>
            <a:ext uri="{FF2B5EF4-FFF2-40B4-BE49-F238E27FC236}">
              <a16:creationId xmlns:a16="http://schemas.microsoft.com/office/drawing/2014/main" id="{BB27E2ED-47A8-461A-B646-32895CE3D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003485" y="11901715"/>
          <a:ext cx="1696357" cy="916668"/>
        </a:xfrm>
        <a:prstGeom prst="rect">
          <a:avLst/>
        </a:prstGeom>
      </xdr:spPr>
    </xdr:pic>
    <xdr:clientData/>
  </xdr:twoCellAnchor>
  <xdr:twoCellAnchor>
    <xdr:from>
      <xdr:col>28</xdr:col>
      <xdr:colOff>398233</xdr:colOff>
      <xdr:row>62</xdr:row>
      <xdr:rowOff>95250</xdr:rowOff>
    </xdr:from>
    <xdr:to>
      <xdr:col>30</xdr:col>
      <xdr:colOff>302983</xdr:colOff>
      <xdr:row>64</xdr:row>
      <xdr:rowOff>122465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84B2BD70-A800-4B6A-8289-360C710D4ABF}"/>
            </a:ext>
          </a:extLst>
        </xdr:cNvPr>
        <xdr:cNvSpPr txBox="1"/>
      </xdr:nvSpPr>
      <xdr:spPr>
        <a:xfrm>
          <a:off x="17289233" y="11874500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twoCellAnchor editAs="oneCell">
    <xdr:from>
      <xdr:col>28</xdr:col>
      <xdr:colOff>74385</xdr:colOff>
      <xdr:row>54</xdr:row>
      <xdr:rowOff>116115</xdr:rowOff>
    </xdr:from>
    <xdr:to>
      <xdr:col>30</xdr:col>
      <xdr:colOff>564242</xdr:colOff>
      <xdr:row>59</xdr:row>
      <xdr:rowOff>80283</xdr:rowOff>
    </xdr:to>
    <xdr:pic>
      <xdr:nvPicPr>
        <xdr:cNvPr id="204" name="Gráfico 203" descr="Seta de linha: curva ligeira estrutura de tópicos">
          <a:extLst>
            <a:ext uri="{FF2B5EF4-FFF2-40B4-BE49-F238E27FC236}">
              <a16:creationId xmlns:a16="http://schemas.microsoft.com/office/drawing/2014/main" id="{43FF0A12-C9F4-4E3D-8995-9DA00CBC0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965385" y="10371365"/>
          <a:ext cx="1696357" cy="916668"/>
        </a:xfrm>
        <a:prstGeom prst="rect">
          <a:avLst/>
        </a:prstGeom>
      </xdr:spPr>
    </xdr:pic>
    <xdr:clientData/>
  </xdr:twoCellAnchor>
  <xdr:twoCellAnchor>
    <xdr:from>
      <xdr:col>28</xdr:col>
      <xdr:colOff>360133</xdr:colOff>
      <xdr:row>54</xdr:row>
      <xdr:rowOff>88900</xdr:rowOff>
    </xdr:from>
    <xdr:to>
      <xdr:col>30</xdr:col>
      <xdr:colOff>264883</xdr:colOff>
      <xdr:row>56</xdr:row>
      <xdr:rowOff>116115</xdr:rowOff>
    </xdr:to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ACF956E7-30B4-47CA-83B6-4CD7DE0181F6}"/>
            </a:ext>
          </a:extLst>
        </xdr:cNvPr>
        <xdr:cNvSpPr txBox="1"/>
      </xdr:nvSpPr>
      <xdr:spPr>
        <a:xfrm>
          <a:off x="17251133" y="10344150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oneCellAnchor>
    <xdr:from>
      <xdr:col>7</xdr:col>
      <xdr:colOff>31750</xdr:colOff>
      <xdr:row>70</xdr:row>
      <xdr:rowOff>127907</xdr:rowOff>
    </xdr:from>
    <xdr:ext cx="1687286" cy="916668"/>
    <xdr:pic>
      <xdr:nvPicPr>
        <xdr:cNvPr id="214" name="Gráfico 213" descr="Seta de linha: curva ligeira estrutura de tópicos">
          <a:extLst>
            <a:ext uri="{FF2B5EF4-FFF2-40B4-BE49-F238E27FC236}">
              <a16:creationId xmlns:a16="http://schemas.microsoft.com/office/drawing/2014/main" id="{44967ED1-D46B-4F41-BFFC-5A11E4B53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54500" y="11907157"/>
          <a:ext cx="1687286" cy="916668"/>
        </a:xfrm>
        <a:prstGeom prst="rect">
          <a:avLst/>
        </a:prstGeom>
      </xdr:spPr>
    </xdr:pic>
    <xdr:clientData/>
  </xdr:oneCellAnchor>
  <xdr:twoCellAnchor>
    <xdr:from>
      <xdr:col>7</xdr:col>
      <xdr:colOff>308427</xdr:colOff>
      <xdr:row>70</xdr:row>
      <xdr:rowOff>100692</xdr:rowOff>
    </xdr:from>
    <xdr:to>
      <xdr:col>9</xdr:col>
      <xdr:colOff>213177</xdr:colOff>
      <xdr:row>72</xdr:row>
      <xdr:rowOff>127907</xdr:rowOff>
    </xdr:to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0746EE15-1849-42C9-A40E-AA2B8B128DCB}"/>
            </a:ext>
          </a:extLst>
        </xdr:cNvPr>
        <xdr:cNvSpPr txBox="1"/>
      </xdr:nvSpPr>
      <xdr:spPr>
        <a:xfrm>
          <a:off x="4531177" y="11879942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oneCellAnchor>
    <xdr:from>
      <xdr:col>14</xdr:col>
      <xdr:colOff>20864</xdr:colOff>
      <xdr:row>70</xdr:row>
      <xdr:rowOff>144236</xdr:rowOff>
    </xdr:from>
    <xdr:ext cx="1687286" cy="916668"/>
    <xdr:pic>
      <xdr:nvPicPr>
        <xdr:cNvPr id="216" name="Gráfico 215" descr="Seta de linha: curva ligeira estrutura de tópicos">
          <a:extLst>
            <a:ext uri="{FF2B5EF4-FFF2-40B4-BE49-F238E27FC236}">
              <a16:creationId xmlns:a16="http://schemas.microsoft.com/office/drawing/2014/main" id="{1AD3E8B5-E620-4628-8883-148EDB014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66364" y="11923486"/>
          <a:ext cx="1687286" cy="916668"/>
        </a:xfrm>
        <a:prstGeom prst="rect">
          <a:avLst/>
        </a:prstGeom>
      </xdr:spPr>
    </xdr:pic>
    <xdr:clientData/>
  </xdr:oneCellAnchor>
  <xdr:twoCellAnchor>
    <xdr:from>
      <xdr:col>14</xdr:col>
      <xdr:colOff>297541</xdr:colOff>
      <xdr:row>70</xdr:row>
      <xdr:rowOff>117021</xdr:rowOff>
    </xdr:from>
    <xdr:to>
      <xdr:col>16</xdr:col>
      <xdr:colOff>202291</xdr:colOff>
      <xdr:row>72</xdr:row>
      <xdr:rowOff>144236</xdr:rowOff>
    </xdr:to>
    <xdr:sp macro="" textlink="">
      <xdr:nvSpPr>
        <xdr:cNvPr id="217" name="CaixaDeTexto 216">
          <a:extLst>
            <a:ext uri="{FF2B5EF4-FFF2-40B4-BE49-F238E27FC236}">
              <a16:creationId xmlns:a16="http://schemas.microsoft.com/office/drawing/2014/main" id="{58C6690F-2699-45E1-83CB-A45A501F1454}"/>
            </a:ext>
          </a:extLst>
        </xdr:cNvPr>
        <xdr:cNvSpPr txBox="1"/>
      </xdr:nvSpPr>
      <xdr:spPr>
        <a:xfrm>
          <a:off x="8743041" y="11896271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oneCellAnchor>
    <xdr:from>
      <xdr:col>21</xdr:col>
      <xdr:colOff>55335</xdr:colOff>
      <xdr:row>70</xdr:row>
      <xdr:rowOff>146957</xdr:rowOff>
    </xdr:from>
    <xdr:ext cx="1696357" cy="916668"/>
    <xdr:pic>
      <xdr:nvPicPr>
        <xdr:cNvPr id="218" name="Gráfico 217" descr="Seta de linha: curva ligeira estrutura de tópicos">
          <a:extLst>
            <a:ext uri="{FF2B5EF4-FFF2-40B4-BE49-F238E27FC236}">
              <a16:creationId xmlns:a16="http://schemas.microsoft.com/office/drawing/2014/main" id="{DAE4260C-F24E-4034-8DD1-53E42253E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723585" y="11926207"/>
          <a:ext cx="1696357" cy="916668"/>
        </a:xfrm>
        <a:prstGeom prst="rect">
          <a:avLst/>
        </a:prstGeom>
      </xdr:spPr>
    </xdr:pic>
    <xdr:clientData/>
  </xdr:oneCellAnchor>
  <xdr:twoCellAnchor>
    <xdr:from>
      <xdr:col>21</xdr:col>
      <xdr:colOff>341083</xdr:colOff>
      <xdr:row>70</xdr:row>
      <xdr:rowOff>119742</xdr:rowOff>
    </xdr:from>
    <xdr:to>
      <xdr:col>23</xdr:col>
      <xdr:colOff>245833</xdr:colOff>
      <xdr:row>72</xdr:row>
      <xdr:rowOff>146957</xdr:rowOff>
    </xdr:to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223228EA-D792-4149-8364-72773F1F0146}"/>
            </a:ext>
          </a:extLst>
        </xdr:cNvPr>
        <xdr:cNvSpPr txBox="1"/>
      </xdr:nvSpPr>
      <xdr:spPr>
        <a:xfrm>
          <a:off x="13009333" y="11898992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oneCellAnchor>
    <xdr:from>
      <xdr:col>28</xdr:col>
      <xdr:colOff>112485</xdr:colOff>
      <xdr:row>70</xdr:row>
      <xdr:rowOff>122465</xdr:rowOff>
    </xdr:from>
    <xdr:ext cx="1696357" cy="916668"/>
    <xdr:pic>
      <xdr:nvPicPr>
        <xdr:cNvPr id="220" name="Gráfico 219" descr="Seta de linha: curva ligeira estrutura de tópicos">
          <a:extLst>
            <a:ext uri="{FF2B5EF4-FFF2-40B4-BE49-F238E27FC236}">
              <a16:creationId xmlns:a16="http://schemas.microsoft.com/office/drawing/2014/main" id="{0BC66985-2E71-474E-81FA-DA92309A9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003485" y="11901715"/>
          <a:ext cx="1696357" cy="916668"/>
        </a:xfrm>
        <a:prstGeom prst="rect">
          <a:avLst/>
        </a:prstGeom>
      </xdr:spPr>
    </xdr:pic>
    <xdr:clientData/>
  </xdr:oneCellAnchor>
  <xdr:twoCellAnchor>
    <xdr:from>
      <xdr:col>28</xdr:col>
      <xdr:colOff>398233</xdr:colOff>
      <xdr:row>70</xdr:row>
      <xdr:rowOff>95250</xdr:rowOff>
    </xdr:from>
    <xdr:to>
      <xdr:col>30</xdr:col>
      <xdr:colOff>302983</xdr:colOff>
      <xdr:row>72</xdr:row>
      <xdr:rowOff>122465</xdr:rowOff>
    </xdr:to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71B6A8CB-D1FE-4622-8D3A-73A76B7F7889}"/>
            </a:ext>
          </a:extLst>
        </xdr:cNvPr>
        <xdr:cNvSpPr txBox="1"/>
      </xdr:nvSpPr>
      <xdr:spPr>
        <a:xfrm>
          <a:off x="17289233" y="11874500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oneCellAnchor>
    <xdr:from>
      <xdr:col>7</xdr:col>
      <xdr:colOff>31750</xdr:colOff>
      <xdr:row>78</xdr:row>
      <xdr:rowOff>127907</xdr:rowOff>
    </xdr:from>
    <xdr:ext cx="1687286" cy="916668"/>
    <xdr:pic>
      <xdr:nvPicPr>
        <xdr:cNvPr id="222" name="Gráfico 221" descr="Seta de linha: curva ligeira estrutura de tópicos">
          <a:extLst>
            <a:ext uri="{FF2B5EF4-FFF2-40B4-BE49-F238E27FC236}">
              <a16:creationId xmlns:a16="http://schemas.microsoft.com/office/drawing/2014/main" id="{DD9875BB-BF1F-4D44-8866-2F6646B81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54500" y="11907157"/>
          <a:ext cx="1687286" cy="916668"/>
        </a:xfrm>
        <a:prstGeom prst="rect">
          <a:avLst/>
        </a:prstGeom>
      </xdr:spPr>
    </xdr:pic>
    <xdr:clientData/>
  </xdr:oneCellAnchor>
  <xdr:twoCellAnchor>
    <xdr:from>
      <xdr:col>7</xdr:col>
      <xdr:colOff>308427</xdr:colOff>
      <xdr:row>78</xdr:row>
      <xdr:rowOff>100692</xdr:rowOff>
    </xdr:from>
    <xdr:to>
      <xdr:col>9</xdr:col>
      <xdr:colOff>213177</xdr:colOff>
      <xdr:row>80</xdr:row>
      <xdr:rowOff>127907</xdr:rowOff>
    </xdr:to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92DECFA3-48F8-413F-842E-C45C15DA526D}"/>
            </a:ext>
          </a:extLst>
        </xdr:cNvPr>
        <xdr:cNvSpPr txBox="1"/>
      </xdr:nvSpPr>
      <xdr:spPr>
        <a:xfrm>
          <a:off x="4531177" y="11879942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oneCellAnchor>
    <xdr:from>
      <xdr:col>14</xdr:col>
      <xdr:colOff>20864</xdr:colOff>
      <xdr:row>78</xdr:row>
      <xdr:rowOff>144236</xdr:rowOff>
    </xdr:from>
    <xdr:ext cx="1687286" cy="916668"/>
    <xdr:pic>
      <xdr:nvPicPr>
        <xdr:cNvPr id="224" name="Gráfico 223" descr="Seta de linha: curva ligeira estrutura de tópicos">
          <a:extLst>
            <a:ext uri="{FF2B5EF4-FFF2-40B4-BE49-F238E27FC236}">
              <a16:creationId xmlns:a16="http://schemas.microsoft.com/office/drawing/2014/main" id="{6F09D7AF-EF0E-440C-9148-26A0AA3C2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66364" y="11923486"/>
          <a:ext cx="1687286" cy="916668"/>
        </a:xfrm>
        <a:prstGeom prst="rect">
          <a:avLst/>
        </a:prstGeom>
      </xdr:spPr>
    </xdr:pic>
    <xdr:clientData/>
  </xdr:oneCellAnchor>
  <xdr:twoCellAnchor>
    <xdr:from>
      <xdr:col>14</xdr:col>
      <xdr:colOff>297541</xdr:colOff>
      <xdr:row>78</xdr:row>
      <xdr:rowOff>117021</xdr:rowOff>
    </xdr:from>
    <xdr:to>
      <xdr:col>16</xdr:col>
      <xdr:colOff>202291</xdr:colOff>
      <xdr:row>80</xdr:row>
      <xdr:rowOff>144236</xdr:rowOff>
    </xdr:to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3C977BE8-FAD4-4D5A-A10D-8C05C72DDEB5}"/>
            </a:ext>
          </a:extLst>
        </xdr:cNvPr>
        <xdr:cNvSpPr txBox="1"/>
      </xdr:nvSpPr>
      <xdr:spPr>
        <a:xfrm>
          <a:off x="8743041" y="11896271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oneCellAnchor>
    <xdr:from>
      <xdr:col>21</xdr:col>
      <xdr:colOff>55335</xdr:colOff>
      <xdr:row>78</xdr:row>
      <xdr:rowOff>146957</xdr:rowOff>
    </xdr:from>
    <xdr:ext cx="1696357" cy="916668"/>
    <xdr:pic>
      <xdr:nvPicPr>
        <xdr:cNvPr id="226" name="Gráfico 225" descr="Seta de linha: curva ligeira estrutura de tópicos">
          <a:extLst>
            <a:ext uri="{FF2B5EF4-FFF2-40B4-BE49-F238E27FC236}">
              <a16:creationId xmlns:a16="http://schemas.microsoft.com/office/drawing/2014/main" id="{FA45DE48-988A-4A4D-B0F2-8A77EBCD8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723585" y="11926207"/>
          <a:ext cx="1696357" cy="916668"/>
        </a:xfrm>
        <a:prstGeom prst="rect">
          <a:avLst/>
        </a:prstGeom>
      </xdr:spPr>
    </xdr:pic>
    <xdr:clientData/>
  </xdr:oneCellAnchor>
  <xdr:twoCellAnchor>
    <xdr:from>
      <xdr:col>21</xdr:col>
      <xdr:colOff>341083</xdr:colOff>
      <xdr:row>78</xdr:row>
      <xdr:rowOff>119742</xdr:rowOff>
    </xdr:from>
    <xdr:to>
      <xdr:col>23</xdr:col>
      <xdr:colOff>245833</xdr:colOff>
      <xdr:row>80</xdr:row>
      <xdr:rowOff>146957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7B242102-9A1D-4B09-BD54-52D5F304B890}"/>
            </a:ext>
          </a:extLst>
        </xdr:cNvPr>
        <xdr:cNvSpPr txBox="1"/>
      </xdr:nvSpPr>
      <xdr:spPr>
        <a:xfrm>
          <a:off x="13009333" y="11898992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  <xdr:oneCellAnchor>
    <xdr:from>
      <xdr:col>28</xdr:col>
      <xdr:colOff>112485</xdr:colOff>
      <xdr:row>78</xdr:row>
      <xdr:rowOff>122465</xdr:rowOff>
    </xdr:from>
    <xdr:ext cx="1696357" cy="916668"/>
    <xdr:pic>
      <xdr:nvPicPr>
        <xdr:cNvPr id="228" name="Gráfico 227" descr="Seta de linha: curva ligeira estrutura de tópicos">
          <a:extLst>
            <a:ext uri="{FF2B5EF4-FFF2-40B4-BE49-F238E27FC236}">
              <a16:creationId xmlns:a16="http://schemas.microsoft.com/office/drawing/2014/main" id="{9DC5240D-4940-4C80-B424-0330106FA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003485" y="11901715"/>
          <a:ext cx="1696357" cy="916668"/>
        </a:xfrm>
        <a:prstGeom prst="rect">
          <a:avLst/>
        </a:prstGeom>
      </xdr:spPr>
    </xdr:pic>
    <xdr:clientData/>
  </xdr:oneCellAnchor>
  <xdr:twoCellAnchor>
    <xdr:from>
      <xdr:col>28</xdr:col>
      <xdr:colOff>398233</xdr:colOff>
      <xdr:row>78</xdr:row>
      <xdr:rowOff>95250</xdr:rowOff>
    </xdr:from>
    <xdr:to>
      <xdr:col>30</xdr:col>
      <xdr:colOff>302983</xdr:colOff>
      <xdr:row>80</xdr:row>
      <xdr:rowOff>122465</xdr:rowOff>
    </xdr:to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73D28762-B341-47BC-8FA5-6455651344DC}"/>
            </a:ext>
          </a:extLst>
        </xdr:cNvPr>
        <xdr:cNvSpPr txBox="1"/>
      </xdr:nvSpPr>
      <xdr:spPr>
        <a:xfrm>
          <a:off x="17289233" y="11874500"/>
          <a:ext cx="1111250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Bahnschrift" panose="020B0502040204020203" pitchFamily="34" charset="0"/>
            </a:rPr>
            <a:t>Por quê?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197925</xdr:colOff>
      <xdr:row>31</xdr:row>
      <xdr:rowOff>163784</xdr:rowOff>
    </xdr:from>
    <xdr:to>
      <xdr:col>18</xdr:col>
      <xdr:colOff>550469</xdr:colOff>
      <xdr:row>37</xdr:row>
      <xdr:rowOff>157596</xdr:rowOff>
    </xdr:to>
    <xdr:cxnSp macro="">
      <xdr:nvCxnSpPr>
        <xdr:cNvPr id="2" name="Conector: Angulado 1">
          <a:extLst>
            <a:ext uri="{FF2B5EF4-FFF2-40B4-BE49-F238E27FC236}">
              <a16:creationId xmlns:a16="http://schemas.microsoft.com/office/drawing/2014/main" id="{A2311B14-F823-4287-9FC1-4D041194E110}"/>
            </a:ext>
          </a:extLst>
        </xdr:cNvPr>
        <xdr:cNvCxnSpPr>
          <a:cxnSpLocks/>
        </xdr:cNvCxnSpPr>
      </xdr:nvCxnSpPr>
      <xdr:spPr>
        <a:xfrm rot="16200000" flipH="1">
          <a:off x="10778591" y="6499518"/>
          <a:ext cx="1136812" cy="35254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526217</xdr:colOff>
      <xdr:row>63</xdr:row>
      <xdr:rowOff>130080</xdr:rowOff>
    </xdr:from>
    <xdr:to>
      <xdr:col>6</xdr:col>
      <xdr:colOff>154327</xdr:colOff>
      <xdr:row>65</xdr:row>
      <xdr:rowOff>118412</xdr:rowOff>
    </xdr:to>
    <xdr:sp macro="" textlink="">
      <xdr:nvSpPr>
        <xdr:cNvPr id="3" name="CaixaDeTexto 356">
          <a:extLst>
            <a:ext uri="{FF2B5EF4-FFF2-40B4-BE49-F238E27FC236}">
              <a16:creationId xmlns:a16="http://schemas.microsoft.com/office/drawing/2014/main" id="{DB772ECF-86B6-4555-B4E4-97C80F39E78E}"/>
            </a:ext>
          </a:extLst>
        </xdr:cNvPr>
        <xdr:cNvSpPr txBox="1"/>
      </xdr:nvSpPr>
      <xdr:spPr>
        <a:xfrm>
          <a:off x="2355017" y="12169680"/>
          <a:ext cx="145691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ROA</a:t>
          </a:r>
        </a:p>
      </xdr:txBody>
    </xdr:sp>
    <xdr:clientData/>
  </xdr:twoCellAnchor>
  <xdr:twoCellAnchor>
    <xdr:from>
      <xdr:col>3</xdr:col>
      <xdr:colOff>72610</xdr:colOff>
      <xdr:row>53</xdr:row>
      <xdr:rowOff>122068</xdr:rowOff>
    </xdr:from>
    <xdr:to>
      <xdr:col>3</xdr:col>
      <xdr:colOff>526217</xdr:colOff>
      <xdr:row>64</xdr:row>
      <xdr:rowOff>124246</xdr:rowOff>
    </xdr:to>
    <xdr:cxnSp macro="">
      <xdr:nvCxnSpPr>
        <xdr:cNvPr id="4" name="Conector: Angulado 3">
          <a:extLst>
            <a:ext uri="{FF2B5EF4-FFF2-40B4-BE49-F238E27FC236}">
              <a16:creationId xmlns:a16="http://schemas.microsoft.com/office/drawing/2014/main" id="{C3B65EDD-138A-4DFA-8A27-C884EA36C5A2}"/>
            </a:ext>
          </a:extLst>
        </xdr:cNvPr>
        <xdr:cNvCxnSpPr>
          <a:cxnSpLocks/>
          <a:stCxn id="5" idx="3"/>
          <a:endCxn id="3" idx="1"/>
        </xdr:cNvCxnSpPr>
      </xdr:nvCxnSpPr>
      <xdr:spPr>
        <a:xfrm>
          <a:off x="1901410" y="10256668"/>
          <a:ext cx="453607" cy="2097678"/>
        </a:xfrm>
        <a:prstGeom prst="bentConnector3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444500</xdr:colOff>
      <xdr:row>52</xdr:row>
      <xdr:rowOff>127902</xdr:rowOff>
    </xdr:from>
    <xdr:to>
      <xdr:col>3</xdr:col>
      <xdr:colOff>72610</xdr:colOff>
      <xdr:row>54</xdr:row>
      <xdr:rowOff>116234</xdr:rowOff>
    </xdr:to>
    <xdr:sp macro="" textlink="">
      <xdr:nvSpPr>
        <xdr:cNvPr id="5" name="CaixaDeTexto 358">
          <a:extLst>
            <a:ext uri="{FF2B5EF4-FFF2-40B4-BE49-F238E27FC236}">
              <a16:creationId xmlns:a16="http://schemas.microsoft.com/office/drawing/2014/main" id="{828D98F8-F7DB-47B9-B747-3B5C11F6F2C4}"/>
            </a:ext>
          </a:extLst>
        </xdr:cNvPr>
        <xdr:cNvSpPr txBox="1"/>
      </xdr:nvSpPr>
      <xdr:spPr>
        <a:xfrm>
          <a:off x="444500" y="10072002"/>
          <a:ext cx="1456910" cy="369332"/>
        </a:xfrm>
        <a:prstGeom prst="rect">
          <a:avLst/>
        </a:prstGeom>
        <a:solidFill>
          <a:schemeClr val="bg1">
            <a:lumMod val="75000"/>
          </a:schemeClr>
        </a:solidFill>
        <a:ln w="28575">
          <a:solidFill>
            <a:sysClr val="windowText" lastClr="000000"/>
          </a:solidFill>
        </a:ln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RECEITA</a:t>
          </a:r>
        </a:p>
      </xdr:txBody>
    </xdr:sp>
    <xdr:clientData/>
  </xdr:twoCellAnchor>
  <xdr:twoCellAnchor>
    <xdr:from>
      <xdr:col>3</xdr:col>
      <xdr:colOff>72610</xdr:colOff>
      <xdr:row>42</xdr:row>
      <xdr:rowOff>168791</xdr:rowOff>
    </xdr:from>
    <xdr:to>
      <xdr:col>3</xdr:col>
      <xdr:colOff>506538</xdr:colOff>
      <xdr:row>53</xdr:row>
      <xdr:rowOff>122068</xdr:rowOff>
    </xdr:to>
    <xdr:cxnSp macro="">
      <xdr:nvCxnSpPr>
        <xdr:cNvPr id="6" name="Conector: Angulado 5">
          <a:extLst>
            <a:ext uri="{FF2B5EF4-FFF2-40B4-BE49-F238E27FC236}">
              <a16:creationId xmlns:a16="http://schemas.microsoft.com/office/drawing/2014/main" id="{DDDE33FE-92CB-4614-A49D-CE8BCC05396B}"/>
            </a:ext>
          </a:extLst>
        </xdr:cNvPr>
        <xdr:cNvCxnSpPr>
          <a:cxnSpLocks/>
          <a:stCxn id="5" idx="3"/>
          <a:endCxn id="7" idx="1"/>
        </xdr:cNvCxnSpPr>
      </xdr:nvCxnSpPr>
      <xdr:spPr>
        <a:xfrm flipV="1">
          <a:off x="1901410" y="8207891"/>
          <a:ext cx="433928" cy="204877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506538</xdr:colOff>
      <xdr:row>41</xdr:row>
      <xdr:rowOff>174625</xdr:rowOff>
    </xdr:from>
    <xdr:to>
      <xdr:col>6</xdr:col>
      <xdr:colOff>134648</xdr:colOff>
      <xdr:row>43</xdr:row>
      <xdr:rowOff>162957</xdr:rowOff>
    </xdr:to>
    <xdr:sp macro="" textlink="">
      <xdr:nvSpPr>
        <xdr:cNvPr id="7" name="CaixaDeTexto 360">
          <a:extLst>
            <a:ext uri="{FF2B5EF4-FFF2-40B4-BE49-F238E27FC236}">
              <a16:creationId xmlns:a16="http://schemas.microsoft.com/office/drawing/2014/main" id="{0420A4E3-F2B8-43F0-A43F-0B208E179D87}"/>
            </a:ext>
          </a:extLst>
        </xdr:cNvPr>
        <xdr:cNvSpPr txBox="1"/>
      </xdr:nvSpPr>
      <xdr:spPr>
        <a:xfrm>
          <a:off x="2335338" y="8023225"/>
          <a:ext cx="145691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CUSTODIA</a:t>
          </a:r>
        </a:p>
      </xdr:txBody>
    </xdr:sp>
    <xdr:clientData/>
  </xdr:twoCellAnchor>
  <xdr:twoCellAnchor>
    <xdr:from>
      <xdr:col>7</xdr:col>
      <xdr:colOff>103899</xdr:colOff>
      <xdr:row>56</xdr:row>
      <xdr:rowOff>143673</xdr:rowOff>
    </xdr:from>
    <xdr:to>
      <xdr:col>9</xdr:col>
      <xdr:colOff>335259</xdr:colOff>
      <xdr:row>58</xdr:row>
      <xdr:rowOff>132005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C8526D03-89D2-4A72-9F1B-B78261636CAA}"/>
            </a:ext>
          </a:extLst>
        </xdr:cNvPr>
        <xdr:cNvSpPr txBox="1"/>
      </xdr:nvSpPr>
      <xdr:spPr>
        <a:xfrm>
          <a:off x="4371099" y="10849773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ALOCAÇÃO COE </a:t>
          </a:r>
        </a:p>
      </xdr:txBody>
    </xdr:sp>
    <xdr:clientData/>
  </xdr:twoCellAnchor>
  <xdr:twoCellAnchor>
    <xdr:from>
      <xdr:col>7</xdr:col>
      <xdr:colOff>103899</xdr:colOff>
      <xdr:row>59</xdr:row>
      <xdr:rowOff>80004</xdr:rowOff>
    </xdr:from>
    <xdr:to>
      <xdr:col>9</xdr:col>
      <xdr:colOff>335259</xdr:colOff>
      <xdr:row>61</xdr:row>
      <xdr:rowOff>68336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7AC994C8-396B-4D03-8E82-1C5443A69FF7}"/>
            </a:ext>
          </a:extLst>
        </xdr:cNvPr>
        <xdr:cNvSpPr txBox="1"/>
      </xdr:nvSpPr>
      <xdr:spPr>
        <a:xfrm>
          <a:off x="4371099" y="11357604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ALOCAÇÃO RF </a:t>
          </a:r>
        </a:p>
      </xdr:txBody>
    </xdr:sp>
    <xdr:clientData/>
  </xdr:twoCellAnchor>
  <xdr:twoCellAnchor>
    <xdr:from>
      <xdr:col>7</xdr:col>
      <xdr:colOff>103899</xdr:colOff>
      <xdr:row>61</xdr:row>
      <xdr:rowOff>166956</xdr:rowOff>
    </xdr:from>
    <xdr:to>
      <xdr:col>9</xdr:col>
      <xdr:colOff>335259</xdr:colOff>
      <xdr:row>65</xdr:row>
      <xdr:rowOff>51287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41B6EA07-0FBD-47F4-B58E-E23485D883B6}"/>
            </a:ext>
          </a:extLst>
        </xdr:cNvPr>
        <xdr:cNvSpPr txBox="1"/>
      </xdr:nvSpPr>
      <xdr:spPr>
        <a:xfrm>
          <a:off x="4371099" y="11825556"/>
          <a:ext cx="1450560" cy="646331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ALOCAÇÃO FUNDOS </a:t>
          </a:r>
        </a:p>
      </xdr:txBody>
    </xdr:sp>
    <xdr:clientData/>
  </xdr:twoCellAnchor>
  <xdr:twoCellAnchor>
    <xdr:from>
      <xdr:col>7</xdr:col>
      <xdr:colOff>101756</xdr:colOff>
      <xdr:row>66</xdr:row>
      <xdr:rowOff>284</xdr:rowOff>
    </xdr:from>
    <xdr:to>
      <xdr:col>9</xdr:col>
      <xdr:colOff>333116</xdr:colOff>
      <xdr:row>67</xdr:row>
      <xdr:rowOff>179116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791B658D-0C6A-4032-B706-587D6B881B9A}"/>
            </a:ext>
          </a:extLst>
        </xdr:cNvPr>
        <xdr:cNvSpPr txBox="1"/>
      </xdr:nvSpPr>
      <xdr:spPr>
        <a:xfrm>
          <a:off x="4368956" y="12611384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ALOCAÇÃO PREV </a:t>
          </a:r>
        </a:p>
      </xdr:txBody>
    </xdr:sp>
    <xdr:clientData/>
  </xdr:twoCellAnchor>
  <xdr:twoCellAnchor>
    <xdr:from>
      <xdr:col>7</xdr:col>
      <xdr:colOff>101756</xdr:colOff>
      <xdr:row>68</xdr:row>
      <xdr:rowOff>128114</xdr:rowOff>
    </xdr:from>
    <xdr:to>
      <xdr:col>9</xdr:col>
      <xdr:colOff>333116</xdr:colOff>
      <xdr:row>70</xdr:row>
      <xdr:rowOff>116446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D0979968-CE1F-4B94-A2B3-CFFB7B6EBD74}"/>
            </a:ext>
          </a:extLst>
        </xdr:cNvPr>
        <xdr:cNvSpPr txBox="1"/>
      </xdr:nvSpPr>
      <xdr:spPr>
        <a:xfrm>
          <a:off x="4368956" y="13120214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ALOCAÇÃO RV </a:t>
          </a:r>
        </a:p>
      </xdr:txBody>
    </xdr:sp>
    <xdr:clientData/>
  </xdr:twoCellAnchor>
  <xdr:twoCellAnchor>
    <xdr:from>
      <xdr:col>7</xdr:col>
      <xdr:colOff>101756</xdr:colOff>
      <xdr:row>71</xdr:row>
      <xdr:rowOff>50942</xdr:rowOff>
    </xdr:from>
    <xdr:to>
      <xdr:col>9</xdr:col>
      <xdr:colOff>333116</xdr:colOff>
      <xdr:row>73</xdr:row>
      <xdr:rowOff>39274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7985E1A4-1B47-4921-AEBC-420EC51DF18E}"/>
            </a:ext>
          </a:extLst>
        </xdr:cNvPr>
        <xdr:cNvSpPr txBox="1"/>
      </xdr:nvSpPr>
      <xdr:spPr>
        <a:xfrm>
          <a:off x="4368956" y="13614542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ALOCAÇÃO FIIS </a:t>
          </a:r>
        </a:p>
      </xdr:txBody>
    </xdr:sp>
    <xdr:clientData/>
  </xdr:twoCellAnchor>
  <xdr:twoCellAnchor>
    <xdr:from>
      <xdr:col>6</xdr:col>
      <xdr:colOff>319428</xdr:colOff>
      <xdr:row>57</xdr:row>
      <xdr:rowOff>137839</xdr:rowOff>
    </xdr:from>
    <xdr:to>
      <xdr:col>7</xdr:col>
      <xdr:colOff>103900</xdr:colOff>
      <xdr:row>64</xdr:row>
      <xdr:rowOff>127544</xdr:rowOff>
    </xdr:to>
    <xdr:cxnSp macro="">
      <xdr:nvCxnSpPr>
        <xdr:cNvPr id="14" name="Conector: Angulado 13">
          <a:extLst>
            <a:ext uri="{FF2B5EF4-FFF2-40B4-BE49-F238E27FC236}">
              <a16:creationId xmlns:a16="http://schemas.microsoft.com/office/drawing/2014/main" id="{FD60AFF2-0B61-4DA7-81F9-162A96ECA1B8}"/>
            </a:ext>
          </a:extLst>
        </xdr:cNvPr>
        <xdr:cNvCxnSpPr>
          <a:cxnSpLocks/>
          <a:endCxn id="8" idx="1"/>
        </xdr:cNvCxnSpPr>
      </xdr:nvCxnSpPr>
      <xdr:spPr>
        <a:xfrm rot="5400000" flipH="1" flipV="1">
          <a:off x="3512461" y="11499006"/>
          <a:ext cx="1323205" cy="394072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319427</xdr:colOff>
      <xdr:row>60</xdr:row>
      <xdr:rowOff>74170</xdr:rowOff>
    </xdr:from>
    <xdr:to>
      <xdr:col>7</xdr:col>
      <xdr:colOff>103899</xdr:colOff>
      <xdr:row>64</xdr:row>
      <xdr:rowOff>127544</xdr:rowOff>
    </xdr:to>
    <xdr:cxnSp macro="">
      <xdr:nvCxnSpPr>
        <xdr:cNvPr id="15" name="Conector: Angulado 14">
          <a:extLst>
            <a:ext uri="{FF2B5EF4-FFF2-40B4-BE49-F238E27FC236}">
              <a16:creationId xmlns:a16="http://schemas.microsoft.com/office/drawing/2014/main" id="{975AD017-956D-442B-85C5-35D76DBC2E70}"/>
            </a:ext>
          </a:extLst>
        </xdr:cNvPr>
        <xdr:cNvCxnSpPr>
          <a:cxnSpLocks/>
          <a:endCxn id="9" idx="1"/>
        </xdr:cNvCxnSpPr>
      </xdr:nvCxnSpPr>
      <xdr:spPr>
        <a:xfrm rot="5400000" flipH="1" flipV="1">
          <a:off x="3766376" y="11752921"/>
          <a:ext cx="815374" cy="394072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311150</xdr:colOff>
      <xdr:row>63</xdr:row>
      <xdr:rowOff>109122</xdr:rowOff>
    </xdr:from>
    <xdr:to>
      <xdr:col>7</xdr:col>
      <xdr:colOff>103899</xdr:colOff>
      <xdr:row>63</xdr:row>
      <xdr:rowOff>111125</xdr:rowOff>
    </xdr:to>
    <xdr:cxnSp macro="">
      <xdr:nvCxnSpPr>
        <xdr:cNvPr id="16" name="Conector: Angulado 15">
          <a:extLst>
            <a:ext uri="{FF2B5EF4-FFF2-40B4-BE49-F238E27FC236}">
              <a16:creationId xmlns:a16="http://schemas.microsoft.com/office/drawing/2014/main" id="{419C6C8E-A0A7-41B8-8CAF-2202B60D15A9}"/>
            </a:ext>
          </a:extLst>
        </xdr:cNvPr>
        <xdr:cNvCxnSpPr>
          <a:cxnSpLocks/>
          <a:endCxn id="10" idx="1"/>
        </xdr:cNvCxnSpPr>
      </xdr:nvCxnSpPr>
      <xdr:spPr>
        <a:xfrm flipV="1">
          <a:off x="3968750" y="12148722"/>
          <a:ext cx="402349" cy="200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319426</xdr:colOff>
      <xdr:row>64</xdr:row>
      <xdr:rowOff>127544</xdr:rowOff>
    </xdr:from>
    <xdr:to>
      <xdr:col>7</xdr:col>
      <xdr:colOff>101755</xdr:colOff>
      <xdr:row>66</xdr:row>
      <xdr:rowOff>184950</xdr:rowOff>
    </xdr:to>
    <xdr:cxnSp macro="">
      <xdr:nvCxnSpPr>
        <xdr:cNvPr id="17" name="Conector: Angulado 16">
          <a:extLst>
            <a:ext uri="{FF2B5EF4-FFF2-40B4-BE49-F238E27FC236}">
              <a16:creationId xmlns:a16="http://schemas.microsoft.com/office/drawing/2014/main" id="{AD4A855E-CD36-4C16-B27D-C932702295C9}"/>
            </a:ext>
          </a:extLst>
        </xdr:cNvPr>
        <xdr:cNvCxnSpPr>
          <a:cxnSpLocks/>
          <a:endCxn id="11" idx="1"/>
        </xdr:cNvCxnSpPr>
      </xdr:nvCxnSpPr>
      <xdr:spPr>
        <a:xfrm rot="16200000" flipH="1">
          <a:off x="3953788" y="12380882"/>
          <a:ext cx="438406" cy="391929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319426</xdr:colOff>
      <xdr:row>64</xdr:row>
      <xdr:rowOff>127544</xdr:rowOff>
    </xdr:from>
    <xdr:to>
      <xdr:col>7</xdr:col>
      <xdr:colOff>101755</xdr:colOff>
      <xdr:row>69</xdr:row>
      <xdr:rowOff>122280</xdr:rowOff>
    </xdr:to>
    <xdr:cxnSp macro="">
      <xdr:nvCxnSpPr>
        <xdr:cNvPr id="18" name="Conector: Angulado 17">
          <a:extLst>
            <a:ext uri="{FF2B5EF4-FFF2-40B4-BE49-F238E27FC236}">
              <a16:creationId xmlns:a16="http://schemas.microsoft.com/office/drawing/2014/main" id="{849084C1-B57E-445D-AB8D-35371364014C}"/>
            </a:ext>
          </a:extLst>
        </xdr:cNvPr>
        <xdr:cNvCxnSpPr>
          <a:cxnSpLocks/>
          <a:endCxn id="12" idx="1"/>
        </xdr:cNvCxnSpPr>
      </xdr:nvCxnSpPr>
      <xdr:spPr>
        <a:xfrm rot="16200000" flipH="1">
          <a:off x="3699373" y="12635297"/>
          <a:ext cx="947236" cy="391929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154327</xdr:colOff>
      <xdr:row>64</xdr:row>
      <xdr:rowOff>124246</xdr:rowOff>
    </xdr:from>
    <xdr:to>
      <xdr:col>7</xdr:col>
      <xdr:colOff>101756</xdr:colOff>
      <xdr:row>72</xdr:row>
      <xdr:rowOff>45108</xdr:rowOff>
    </xdr:to>
    <xdr:cxnSp macro="">
      <xdr:nvCxnSpPr>
        <xdr:cNvPr id="19" name="Conector: Angulado 18">
          <a:extLst>
            <a:ext uri="{FF2B5EF4-FFF2-40B4-BE49-F238E27FC236}">
              <a16:creationId xmlns:a16="http://schemas.microsoft.com/office/drawing/2014/main" id="{F66A0CEC-1324-42F5-82E8-03BDA106F651}"/>
            </a:ext>
          </a:extLst>
        </xdr:cNvPr>
        <xdr:cNvCxnSpPr>
          <a:cxnSpLocks/>
          <a:stCxn id="3" idx="3"/>
          <a:endCxn id="13" idx="1"/>
        </xdr:cNvCxnSpPr>
      </xdr:nvCxnSpPr>
      <xdr:spPr>
        <a:xfrm>
          <a:off x="3811927" y="12354346"/>
          <a:ext cx="557029" cy="1444862"/>
        </a:xfrm>
        <a:prstGeom prst="bentConnector3">
          <a:avLst>
            <a:gd name="adj1" fmla="val 3062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539841</xdr:colOff>
      <xdr:row>35</xdr:row>
      <xdr:rowOff>1456</xdr:rowOff>
    </xdr:from>
    <xdr:to>
      <xdr:col>9</xdr:col>
      <xdr:colOff>167951</xdr:colOff>
      <xdr:row>36</xdr:row>
      <xdr:rowOff>180288</xdr:rowOff>
    </xdr:to>
    <xdr:sp macro="" textlink="">
      <xdr:nvSpPr>
        <xdr:cNvPr id="20" name="CaixaDeTexto 6">
          <a:extLst>
            <a:ext uri="{FF2B5EF4-FFF2-40B4-BE49-F238E27FC236}">
              <a16:creationId xmlns:a16="http://schemas.microsoft.com/office/drawing/2014/main" id="{C8582DC5-8F22-43B6-806F-DE6FB2197892}"/>
            </a:ext>
          </a:extLst>
        </xdr:cNvPr>
        <xdr:cNvSpPr txBox="1"/>
      </xdr:nvSpPr>
      <xdr:spPr>
        <a:xfrm>
          <a:off x="4197441" y="6707056"/>
          <a:ext cx="145691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CAPTAÇÃO</a:t>
          </a:r>
        </a:p>
      </xdr:txBody>
    </xdr:sp>
    <xdr:clientData/>
  </xdr:twoCellAnchor>
  <xdr:twoCellAnchor>
    <xdr:from>
      <xdr:col>6</xdr:col>
      <xdr:colOff>539841</xdr:colOff>
      <xdr:row>49</xdr:row>
      <xdr:rowOff>129994</xdr:rowOff>
    </xdr:from>
    <xdr:to>
      <xdr:col>9</xdr:col>
      <xdr:colOff>167951</xdr:colOff>
      <xdr:row>51</xdr:row>
      <xdr:rowOff>118326</xdr:rowOff>
    </xdr:to>
    <xdr:sp macro="" textlink="">
      <xdr:nvSpPr>
        <xdr:cNvPr id="21" name="CaixaDeTexto 8">
          <a:extLst>
            <a:ext uri="{FF2B5EF4-FFF2-40B4-BE49-F238E27FC236}">
              <a16:creationId xmlns:a16="http://schemas.microsoft.com/office/drawing/2014/main" id="{6A97C5A4-C0E1-4758-B518-9C5EB8058551}"/>
            </a:ext>
          </a:extLst>
        </xdr:cNvPr>
        <xdr:cNvSpPr txBox="1"/>
      </xdr:nvSpPr>
      <xdr:spPr>
        <a:xfrm>
          <a:off x="4197441" y="9502594"/>
          <a:ext cx="1456910" cy="36933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C00000"/>
          </a:solidFill>
        </a:ln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BASE DOADA</a:t>
          </a:r>
        </a:p>
      </xdr:txBody>
    </xdr:sp>
    <xdr:clientData/>
  </xdr:twoCellAnchor>
  <xdr:twoCellAnchor>
    <xdr:from>
      <xdr:col>6</xdr:col>
      <xdr:colOff>136110</xdr:colOff>
      <xdr:row>35</xdr:row>
      <xdr:rowOff>186122</xdr:rowOff>
    </xdr:from>
    <xdr:to>
      <xdr:col>6</xdr:col>
      <xdr:colOff>539841</xdr:colOff>
      <xdr:row>42</xdr:row>
      <xdr:rowOff>152833</xdr:rowOff>
    </xdr:to>
    <xdr:cxnSp macro="">
      <xdr:nvCxnSpPr>
        <xdr:cNvPr id="22" name="Conector: Angulado 21">
          <a:extLst>
            <a:ext uri="{FF2B5EF4-FFF2-40B4-BE49-F238E27FC236}">
              <a16:creationId xmlns:a16="http://schemas.microsoft.com/office/drawing/2014/main" id="{D98A14F6-67AC-4433-B754-A95316EA8EE1}"/>
            </a:ext>
          </a:extLst>
        </xdr:cNvPr>
        <xdr:cNvCxnSpPr>
          <a:cxnSpLocks/>
          <a:endCxn id="20" idx="1"/>
        </xdr:cNvCxnSpPr>
      </xdr:nvCxnSpPr>
      <xdr:spPr>
        <a:xfrm flipV="1">
          <a:off x="3793710" y="6891722"/>
          <a:ext cx="403731" cy="1300211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134648</xdr:colOff>
      <xdr:row>42</xdr:row>
      <xdr:rowOff>168791</xdr:rowOff>
    </xdr:from>
    <xdr:to>
      <xdr:col>6</xdr:col>
      <xdr:colOff>539841</xdr:colOff>
      <xdr:row>50</xdr:row>
      <xdr:rowOff>124160</xdr:rowOff>
    </xdr:to>
    <xdr:cxnSp macro="">
      <xdr:nvCxnSpPr>
        <xdr:cNvPr id="23" name="Conector: Angulado 22">
          <a:extLst>
            <a:ext uri="{FF2B5EF4-FFF2-40B4-BE49-F238E27FC236}">
              <a16:creationId xmlns:a16="http://schemas.microsoft.com/office/drawing/2014/main" id="{0349EF47-872B-4D75-8089-624CCDBAC040}"/>
            </a:ext>
          </a:extLst>
        </xdr:cNvPr>
        <xdr:cNvCxnSpPr>
          <a:cxnSpLocks/>
          <a:stCxn id="7" idx="3"/>
          <a:endCxn id="21" idx="1"/>
        </xdr:cNvCxnSpPr>
      </xdr:nvCxnSpPr>
      <xdr:spPr>
        <a:xfrm>
          <a:off x="3792248" y="8207891"/>
          <a:ext cx="405193" cy="1479369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167951</xdr:colOff>
      <xdr:row>28</xdr:row>
      <xdr:rowOff>52245</xdr:rowOff>
    </xdr:from>
    <xdr:to>
      <xdr:col>9</xdr:col>
      <xdr:colOff>578974</xdr:colOff>
      <xdr:row>35</xdr:row>
      <xdr:rowOff>186122</xdr:rowOff>
    </xdr:to>
    <xdr:cxnSp macro="">
      <xdr:nvCxnSpPr>
        <xdr:cNvPr id="24" name="Conector: Angulado 23">
          <a:extLst>
            <a:ext uri="{FF2B5EF4-FFF2-40B4-BE49-F238E27FC236}">
              <a16:creationId xmlns:a16="http://schemas.microsoft.com/office/drawing/2014/main" id="{434E8E94-CEE0-4661-97A6-66E204BD2C6D}"/>
            </a:ext>
          </a:extLst>
        </xdr:cNvPr>
        <xdr:cNvCxnSpPr>
          <a:cxnSpLocks/>
          <a:stCxn id="20" idx="3"/>
          <a:endCxn id="25" idx="1"/>
        </xdr:cNvCxnSpPr>
      </xdr:nvCxnSpPr>
      <xdr:spPr>
        <a:xfrm flipV="1">
          <a:off x="5654351" y="5424345"/>
          <a:ext cx="411023" cy="146737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578974</xdr:colOff>
      <xdr:row>26</xdr:row>
      <xdr:rowOff>110079</xdr:rowOff>
    </xdr:from>
    <xdr:to>
      <xdr:col>12</xdr:col>
      <xdr:colOff>207084</xdr:colOff>
      <xdr:row>29</xdr:row>
      <xdr:rowOff>184910</xdr:rowOff>
    </xdr:to>
    <xdr:sp macro="" textlink="">
      <xdr:nvSpPr>
        <xdr:cNvPr id="25" name="CaixaDeTexto 15">
          <a:extLst>
            <a:ext uri="{FF2B5EF4-FFF2-40B4-BE49-F238E27FC236}">
              <a16:creationId xmlns:a16="http://schemas.microsoft.com/office/drawing/2014/main" id="{CF0B2A3B-6313-4879-96A7-6FDC21DB3071}"/>
            </a:ext>
          </a:extLst>
        </xdr:cNvPr>
        <xdr:cNvSpPr txBox="1"/>
      </xdr:nvSpPr>
      <xdr:spPr>
        <a:xfrm>
          <a:off x="6065374" y="5101179"/>
          <a:ext cx="1456910" cy="646331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CAPTAÇÃO BRUTA</a:t>
          </a:r>
        </a:p>
      </xdr:txBody>
    </xdr:sp>
    <xdr:clientData/>
  </xdr:twoCellAnchor>
  <xdr:twoCellAnchor>
    <xdr:from>
      <xdr:col>9</xdr:col>
      <xdr:colOff>578974</xdr:colOff>
      <xdr:row>42</xdr:row>
      <xdr:rowOff>164224</xdr:rowOff>
    </xdr:from>
    <xdr:to>
      <xdr:col>12</xdr:col>
      <xdr:colOff>207084</xdr:colOff>
      <xdr:row>44</xdr:row>
      <xdr:rowOff>152556</xdr:rowOff>
    </xdr:to>
    <xdr:sp macro="" textlink="">
      <xdr:nvSpPr>
        <xdr:cNvPr id="26" name="CaixaDeTexto 16">
          <a:extLst>
            <a:ext uri="{FF2B5EF4-FFF2-40B4-BE49-F238E27FC236}">
              <a16:creationId xmlns:a16="http://schemas.microsoft.com/office/drawing/2014/main" id="{3A5C1F5A-B8FC-40B8-9DDA-7926680934F1}"/>
            </a:ext>
          </a:extLst>
        </xdr:cNvPr>
        <xdr:cNvSpPr txBox="1"/>
      </xdr:nvSpPr>
      <xdr:spPr>
        <a:xfrm>
          <a:off x="6065374" y="8203324"/>
          <a:ext cx="145691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RESGATE</a:t>
          </a:r>
        </a:p>
      </xdr:txBody>
    </xdr:sp>
    <xdr:clientData/>
  </xdr:twoCellAnchor>
  <xdr:twoCellAnchor>
    <xdr:from>
      <xdr:col>9</xdr:col>
      <xdr:colOff>167951</xdr:colOff>
      <xdr:row>35</xdr:row>
      <xdr:rowOff>186122</xdr:rowOff>
    </xdr:from>
    <xdr:to>
      <xdr:col>9</xdr:col>
      <xdr:colOff>578974</xdr:colOff>
      <xdr:row>43</xdr:row>
      <xdr:rowOff>158390</xdr:rowOff>
    </xdr:to>
    <xdr:cxnSp macro="">
      <xdr:nvCxnSpPr>
        <xdr:cNvPr id="27" name="Conector: Angulado 26">
          <a:extLst>
            <a:ext uri="{FF2B5EF4-FFF2-40B4-BE49-F238E27FC236}">
              <a16:creationId xmlns:a16="http://schemas.microsoft.com/office/drawing/2014/main" id="{196DB2FC-7D83-4986-82E2-7E710E6A46AD}"/>
            </a:ext>
          </a:extLst>
        </xdr:cNvPr>
        <xdr:cNvCxnSpPr>
          <a:cxnSpLocks/>
          <a:stCxn id="20" idx="3"/>
          <a:endCxn id="26" idx="1"/>
        </xdr:cNvCxnSpPr>
      </xdr:nvCxnSpPr>
      <xdr:spPr>
        <a:xfrm>
          <a:off x="5654351" y="6891722"/>
          <a:ext cx="411023" cy="1496268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539841</xdr:colOff>
      <xdr:row>37</xdr:row>
      <xdr:rowOff>48078</xdr:rowOff>
    </xdr:from>
    <xdr:to>
      <xdr:col>9</xdr:col>
      <xdr:colOff>167951</xdr:colOff>
      <xdr:row>39</xdr:row>
      <xdr:rowOff>36410</xdr:rowOff>
    </xdr:to>
    <xdr:sp macro="" textlink="">
      <xdr:nvSpPr>
        <xdr:cNvPr id="28" name="CaixaDeTexto 12">
          <a:extLst>
            <a:ext uri="{FF2B5EF4-FFF2-40B4-BE49-F238E27FC236}">
              <a16:creationId xmlns:a16="http://schemas.microsoft.com/office/drawing/2014/main" id="{F2EED01A-4793-40F8-9FD4-DE840FEE68A1}"/>
            </a:ext>
          </a:extLst>
        </xdr:cNvPr>
        <xdr:cNvSpPr txBox="1"/>
      </xdr:nvSpPr>
      <xdr:spPr>
        <a:xfrm>
          <a:off x="4197441" y="7134678"/>
          <a:ext cx="1456910" cy="3693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R$ </a:t>
          </a:r>
        </a:p>
      </xdr:txBody>
    </xdr:sp>
    <xdr:clientData/>
  </xdr:twoCellAnchor>
  <xdr:twoCellAnchor>
    <xdr:from>
      <xdr:col>9</xdr:col>
      <xdr:colOff>578974</xdr:colOff>
      <xdr:row>30</xdr:row>
      <xdr:rowOff>45339</xdr:rowOff>
    </xdr:from>
    <xdr:to>
      <xdr:col>12</xdr:col>
      <xdr:colOff>207084</xdr:colOff>
      <xdr:row>32</xdr:row>
      <xdr:rowOff>33671</xdr:rowOff>
    </xdr:to>
    <xdr:sp macro="" textlink="">
      <xdr:nvSpPr>
        <xdr:cNvPr id="29" name="CaixaDeTexto 13">
          <a:extLst>
            <a:ext uri="{FF2B5EF4-FFF2-40B4-BE49-F238E27FC236}">
              <a16:creationId xmlns:a16="http://schemas.microsoft.com/office/drawing/2014/main" id="{C484C3CA-0FAE-4F60-9DF9-4EAB1F90FFF0}"/>
            </a:ext>
          </a:extLst>
        </xdr:cNvPr>
        <xdr:cNvSpPr txBox="1"/>
      </xdr:nvSpPr>
      <xdr:spPr>
        <a:xfrm>
          <a:off x="6065374" y="5798439"/>
          <a:ext cx="1456910" cy="3693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R$ </a:t>
          </a:r>
        </a:p>
      </xdr:txBody>
    </xdr:sp>
    <xdr:clientData/>
  </xdr:twoCellAnchor>
  <xdr:twoCellAnchor>
    <xdr:from>
      <xdr:col>9</xdr:col>
      <xdr:colOff>583541</xdr:colOff>
      <xdr:row>45</xdr:row>
      <xdr:rowOff>41042</xdr:rowOff>
    </xdr:from>
    <xdr:to>
      <xdr:col>12</xdr:col>
      <xdr:colOff>207085</xdr:colOff>
      <xdr:row>47</xdr:row>
      <xdr:rowOff>29439</xdr:rowOff>
    </xdr:to>
    <xdr:sp macro="" textlink="">
      <xdr:nvSpPr>
        <xdr:cNvPr id="30" name="CaixaDeTexto 18">
          <a:extLst>
            <a:ext uri="{FF2B5EF4-FFF2-40B4-BE49-F238E27FC236}">
              <a16:creationId xmlns:a16="http://schemas.microsoft.com/office/drawing/2014/main" id="{3D2576D1-8E19-4CD5-9876-0BC3B5057ECC}"/>
            </a:ext>
          </a:extLst>
        </xdr:cNvPr>
        <xdr:cNvSpPr txBox="1"/>
      </xdr:nvSpPr>
      <xdr:spPr>
        <a:xfrm>
          <a:off x="6069941" y="8651642"/>
          <a:ext cx="1452344" cy="36939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-R$ </a:t>
          </a:r>
        </a:p>
      </xdr:txBody>
    </xdr:sp>
    <xdr:clientData/>
  </xdr:twoCellAnchor>
  <xdr:twoCellAnchor>
    <xdr:from>
      <xdr:col>9</xdr:col>
      <xdr:colOff>480155</xdr:colOff>
      <xdr:row>25</xdr:row>
      <xdr:rowOff>98425</xdr:rowOff>
    </xdr:from>
    <xdr:to>
      <xdr:col>12</xdr:col>
      <xdr:colOff>305904</xdr:colOff>
      <xdr:row>32</xdr:row>
      <xdr:rowOff>173505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A7AA6D9A-C345-40A0-91F1-9E9675E103FC}"/>
            </a:ext>
          </a:extLst>
        </xdr:cNvPr>
        <xdr:cNvSpPr/>
      </xdr:nvSpPr>
      <xdr:spPr>
        <a:xfrm>
          <a:off x="5966555" y="4899025"/>
          <a:ext cx="1654549" cy="1408580"/>
        </a:xfrm>
        <a:prstGeom prst="rect">
          <a:avLst/>
        </a:prstGeom>
        <a:noFill/>
        <a:ln w="38100">
          <a:solidFill>
            <a:schemeClr val="accent4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72823</xdr:colOff>
      <xdr:row>16</xdr:row>
      <xdr:rowOff>18936</xdr:rowOff>
    </xdr:from>
    <xdr:to>
      <xdr:col>26</xdr:col>
      <xdr:colOff>304183</xdr:colOff>
      <xdr:row>18</xdr:row>
      <xdr:rowOff>7268</xdr:rowOff>
    </xdr:to>
    <xdr:sp macro="" textlink="">
      <xdr:nvSpPr>
        <xdr:cNvPr id="32" name="CaixaDeTexto 19">
          <a:extLst>
            <a:ext uri="{FF2B5EF4-FFF2-40B4-BE49-F238E27FC236}">
              <a16:creationId xmlns:a16="http://schemas.microsoft.com/office/drawing/2014/main" id="{D580E2BA-76FD-4AB3-BEF8-E9FCC73897B1}"/>
            </a:ext>
          </a:extLst>
        </xdr:cNvPr>
        <xdr:cNvSpPr txBox="1"/>
      </xdr:nvSpPr>
      <xdr:spPr>
        <a:xfrm>
          <a:off x="14703223" y="3105036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BASE BANCO</a:t>
          </a:r>
        </a:p>
      </xdr:txBody>
    </xdr:sp>
    <xdr:clientData/>
  </xdr:twoCellAnchor>
  <xdr:twoCellAnchor>
    <xdr:from>
      <xdr:col>21</xdr:col>
      <xdr:colOff>162443</xdr:colOff>
      <xdr:row>9</xdr:row>
      <xdr:rowOff>19050</xdr:rowOff>
    </xdr:from>
    <xdr:to>
      <xdr:col>23</xdr:col>
      <xdr:colOff>393803</xdr:colOff>
      <xdr:row>11</xdr:row>
      <xdr:rowOff>7382</xdr:rowOff>
    </xdr:to>
    <xdr:sp macro="" textlink="">
      <xdr:nvSpPr>
        <xdr:cNvPr id="33" name="CaixaDeTexto 20">
          <a:extLst>
            <a:ext uri="{FF2B5EF4-FFF2-40B4-BE49-F238E27FC236}">
              <a16:creationId xmlns:a16="http://schemas.microsoft.com/office/drawing/2014/main" id="{4009E728-0EE7-42E4-97E3-47C81ECDFF5B}"/>
            </a:ext>
          </a:extLst>
        </xdr:cNvPr>
        <xdr:cNvSpPr txBox="1"/>
      </xdr:nvSpPr>
      <xdr:spPr>
        <a:xfrm>
          <a:off x="12964043" y="1771650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INDICAÇÃO</a:t>
          </a:r>
        </a:p>
      </xdr:txBody>
    </xdr:sp>
    <xdr:clientData/>
  </xdr:twoCellAnchor>
  <xdr:twoCellAnchor>
    <xdr:from>
      <xdr:col>21</xdr:col>
      <xdr:colOff>162443</xdr:colOff>
      <xdr:row>14</xdr:row>
      <xdr:rowOff>89729</xdr:rowOff>
    </xdr:from>
    <xdr:to>
      <xdr:col>23</xdr:col>
      <xdr:colOff>393803</xdr:colOff>
      <xdr:row>16</xdr:row>
      <xdr:rowOff>78061</xdr:rowOff>
    </xdr:to>
    <xdr:sp macro="" textlink="">
      <xdr:nvSpPr>
        <xdr:cNvPr id="34" name="CaixaDeTexto 21">
          <a:extLst>
            <a:ext uri="{FF2B5EF4-FFF2-40B4-BE49-F238E27FC236}">
              <a16:creationId xmlns:a16="http://schemas.microsoft.com/office/drawing/2014/main" id="{9FB7C51B-B970-4253-8578-F27ABC51A3DF}"/>
            </a:ext>
          </a:extLst>
        </xdr:cNvPr>
        <xdr:cNvSpPr txBox="1"/>
      </xdr:nvSpPr>
      <xdr:spPr>
        <a:xfrm>
          <a:off x="12964043" y="2794829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HUNTING</a:t>
          </a:r>
        </a:p>
      </xdr:txBody>
    </xdr:sp>
    <xdr:clientData/>
  </xdr:twoCellAnchor>
  <xdr:twoCellAnchor>
    <xdr:from>
      <xdr:col>12</xdr:col>
      <xdr:colOff>577120</xdr:colOff>
      <xdr:row>36</xdr:row>
      <xdr:rowOff>58029</xdr:rowOff>
    </xdr:from>
    <xdr:to>
      <xdr:col>15</xdr:col>
      <xdr:colOff>205230</xdr:colOff>
      <xdr:row>38</xdr:row>
      <xdr:rowOff>30972</xdr:rowOff>
    </xdr:to>
    <xdr:sp macro="" textlink="">
      <xdr:nvSpPr>
        <xdr:cNvPr id="35" name="CaixaDeTexto 22">
          <a:extLst>
            <a:ext uri="{FF2B5EF4-FFF2-40B4-BE49-F238E27FC236}">
              <a16:creationId xmlns:a16="http://schemas.microsoft.com/office/drawing/2014/main" id="{B636E4EA-FADD-4E1C-8FD8-5DA8FC91AB64}"/>
            </a:ext>
          </a:extLst>
        </xdr:cNvPr>
        <xdr:cNvSpPr txBox="1"/>
      </xdr:nvSpPr>
      <xdr:spPr>
        <a:xfrm>
          <a:off x="7892320" y="6954129"/>
          <a:ext cx="1456910" cy="353943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7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DEMAIS APORTES</a:t>
          </a:r>
        </a:p>
      </xdr:txBody>
    </xdr:sp>
    <xdr:clientData/>
  </xdr:twoCellAnchor>
  <xdr:twoCellAnchor>
    <xdr:from>
      <xdr:col>23</xdr:col>
      <xdr:colOff>393803</xdr:colOff>
      <xdr:row>15</xdr:row>
      <xdr:rowOff>83895</xdr:rowOff>
    </xdr:from>
    <xdr:to>
      <xdr:col>24</xdr:col>
      <xdr:colOff>72823</xdr:colOff>
      <xdr:row>17</xdr:row>
      <xdr:rowOff>13102</xdr:rowOff>
    </xdr:to>
    <xdr:cxnSp macro="">
      <xdr:nvCxnSpPr>
        <xdr:cNvPr id="36" name="Conector: Angulado 35">
          <a:extLst>
            <a:ext uri="{FF2B5EF4-FFF2-40B4-BE49-F238E27FC236}">
              <a16:creationId xmlns:a16="http://schemas.microsoft.com/office/drawing/2014/main" id="{FFDEFA96-9849-413A-B7C7-C63D023D9714}"/>
            </a:ext>
          </a:extLst>
        </xdr:cNvPr>
        <xdr:cNvCxnSpPr>
          <a:cxnSpLocks/>
          <a:stCxn id="34" idx="3"/>
          <a:endCxn id="32" idx="1"/>
        </xdr:cNvCxnSpPr>
      </xdr:nvCxnSpPr>
      <xdr:spPr>
        <a:xfrm>
          <a:off x="14414603" y="2979495"/>
          <a:ext cx="288620" cy="31020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543673</xdr:colOff>
      <xdr:row>10</xdr:row>
      <xdr:rowOff>13216</xdr:rowOff>
    </xdr:from>
    <xdr:to>
      <xdr:col>21</xdr:col>
      <xdr:colOff>162443</xdr:colOff>
      <xdr:row>12</xdr:row>
      <xdr:rowOff>167501</xdr:rowOff>
    </xdr:to>
    <xdr:cxnSp macro="">
      <xdr:nvCxnSpPr>
        <xdr:cNvPr id="37" name="Conector: Angulado 36">
          <a:extLst>
            <a:ext uri="{FF2B5EF4-FFF2-40B4-BE49-F238E27FC236}">
              <a16:creationId xmlns:a16="http://schemas.microsoft.com/office/drawing/2014/main" id="{DAFDD050-1010-49C2-87B3-02BE0058181D}"/>
            </a:ext>
          </a:extLst>
        </xdr:cNvPr>
        <xdr:cNvCxnSpPr>
          <a:cxnSpLocks/>
          <a:stCxn id="51" idx="3"/>
          <a:endCxn id="33" idx="1"/>
        </xdr:cNvCxnSpPr>
      </xdr:nvCxnSpPr>
      <xdr:spPr>
        <a:xfrm flipV="1">
          <a:off x="12735673" y="1956316"/>
          <a:ext cx="228370" cy="535285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543673</xdr:colOff>
      <xdr:row>12</xdr:row>
      <xdr:rowOff>167501</xdr:rowOff>
    </xdr:from>
    <xdr:to>
      <xdr:col>21</xdr:col>
      <xdr:colOff>162443</xdr:colOff>
      <xdr:row>15</xdr:row>
      <xdr:rowOff>83895</xdr:rowOff>
    </xdr:to>
    <xdr:cxnSp macro="">
      <xdr:nvCxnSpPr>
        <xdr:cNvPr id="38" name="Conector: Angulado 37">
          <a:extLst>
            <a:ext uri="{FF2B5EF4-FFF2-40B4-BE49-F238E27FC236}">
              <a16:creationId xmlns:a16="http://schemas.microsoft.com/office/drawing/2014/main" id="{9F34F146-CF12-4B35-A6BF-81AC9EC52751}"/>
            </a:ext>
          </a:extLst>
        </xdr:cNvPr>
        <xdr:cNvCxnSpPr>
          <a:cxnSpLocks/>
          <a:stCxn id="51" idx="3"/>
          <a:endCxn id="34" idx="1"/>
        </xdr:cNvCxnSpPr>
      </xdr:nvCxnSpPr>
      <xdr:spPr>
        <a:xfrm>
          <a:off x="12735673" y="2491601"/>
          <a:ext cx="228370" cy="48789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207084</xdr:colOff>
      <xdr:row>28</xdr:row>
      <xdr:rowOff>52245</xdr:rowOff>
    </xdr:from>
    <xdr:to>
      <xdr:col>12</xdr:col>
      <xdr:colOff>577120</xdr:colOff>
      <xdr:row>37</xdr:row>
      <xdr:rowOff>44501</xdr:rowOff>
    </xdr:to>
    <xdr:cxnSp macro="">
      <xdr:nvCxnSpPr>
        <xdr:cNvPr id="39" name="Conector: Angulado 38">
          <a:extLst>
            <a:ext uri="{FF2B5EF4-FFF2-40B4-BE49-F238E27FC236}">
              <a16:creationId xmlns:a16="http://schemas.microsoft.com/office/drawing/2014/main" id="{EEB10A85-C4DD-49BB-BEB6-E5E994768E29}"/>
            </a:ext>
          </a:extLst>
        </xdr:cNvPr>
        <xdr:cNvCxnSpPr>
          <a:cxnSpLocks/>
          <a:stCxn id="25" idx="3"/>
          <a:endCxn id="35" idx="1"/>
        </xdr:cNvCxnSpPr>
      </xdr:nvCxnSpPr>
      <xdr:spPr>
        <a:xfrm>
          <a:off x="7522284" y="5424345"/>
          <a:ext cx="370036" cy="1706756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72823</xdr:colOff>
      <xdr:row>13</xdr:row>
      <xdr:rowOff>29560</xdr:rowOff>
    </xdr:from>
    <xdr:to>
      <xdr:col>26</xdr:col>
      <xdr:colOff>304183</xdr:colOff>
      <xdr:row>15</xdr:row>
      <xdr:rowOff>17892</xdr:rowOff>
    </xdr:to>
    <xdr:sp macro="" textlink="">
      <xdr:nvSpPr>
        <xdr:cNvPr id="40" name="CaixaDeTexto 28">
          <a:extLst>
            <a:ext uri="{FF2B5EF4-FFF2-40B4-BE49-F238E27FC236}">
              <a16:creationId xmlns:a16="http://schemas.microsoft.com/office/drawing/2014/main" id="{AEAD85EF-23BF-45C2-B556-76A7615B6E36}"/>
            </a:ext>
          </a:extLst>
        </xdr:cNvPr>
        <xdr:cNvSpPr txBox="1"/>
      </xdr:nvSpPr>
      <xdr:spPr>
        <a:xfrm>
          <a:off x="14703223" y="2544160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COLD CALL</a:t>
          </a:r>
        </a:p>
      </xdr:txBody>
    </xdr:sp>
    <xdr:clientData/>
  </xdr:twoCellAnchor>
  <xdr:twoCellAnchor>
    <xdr:from>
      <xdr:col>23</xdr:col>
      <xdr:colOff>393803</xdr:colOff>
      <xdr:row>14</xdr:row>
      <xdr:rowOff>23726</xdr:rowOff>
    </xdr:from>
    <xdr:to>
      <xdr:col>24</xdr:col>
      <xdr:colOff>72823</xdr:colOff>
      <xdr:row>15</xdr:row>
      <xdr:rowOff>83895</xdr:rowOff>
    </xdr:to>
    <xdr:cxnSp macro="">
      <xdr:nvCxnSpPr>
        <xdr:cNvPr id="41" name="Conector: Angulado 40">
          <a:extLst>
            <a:ext uri="{FF2B5EF4-FFF2-40B4-BE49-F238E27FC236}">
              <a16:creationId xmlns:a16="http://schemas.microsoft.com/office/drawing/2014/main" id="{9EF8B744-A0D3-4A37-A440-CDDA374C6395}"/>
            </a:ext>
          </a:extLst>
        </xdr:cNvPr>
        <xdr:cNvCxnSpPr>
          <a:cxnSpLocks/>
          <a:stCxn id="34" idx="3"/>
          <a:endCxn id="40" idx="1"/>
        </xdr:cNvCxnSpPr>
      </xdr:nvCxnSpPr>
      <xdr:spPr>
        <a:xfrm flipV="1">
          <a:off x="14414603" y="2728826"/>
          <a:ext cx="288620" cy="250669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183735</xdr:colOff>
      <xdr:row>19</xdr:row>
      <xdr:rowOff>155574</xdr:rowOff>
    </xdr:from>
    <xdr:to>
      <xdr:col>12</xdr:col>
      <xdr:colOff>554454</xdr:colOff>
      <xdr:row>28</xdr:row>
      <xdr:rowOff>55128</xdr:rowOff>
    </xdr:to>
    <xdr:cxnSp macro="">
      <xdr:nvCxnSpPr>
        <xdr:cNvPr id="42" name="Conector: Angulado 41">
          <a:extLst>
            <a:ext uri="{FF2B5EF4-FFF2-40B4-BE49-F238E27FC236}">
              <a16:creationId xmlns:a16="http://schemas.microsoft.com/office/drawing/2014/main" id="{669C5499-A0F1-4A3B-8228-CCE397C05276}"/>
            </a:ext>
          </a:extLst>
        </xdr:cNvPr>
        <xdr:cNvCxnSpPr>
          <a:cxnSpLocks/>
          <a:endCxn id="53" idx="1"/>
        </xdr:cNvCxnSpPr>
      </xdr:nvCxnSpPr>
      <xdr:spPr>
        <a:xfrm flipV="1">
          <a:off x="7498935" y="3813174"/>
          <a:ext cx="370719" cy="161405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444716</xdr:colOff>
      <xdr:row>30</xdr:row>
      <xdr:rowOff>22324</xdr:rowOff>
    </xdr:from>
    <xdr:to>
      <xdr:col>18</xdr:col>
      <xdr:colOff>72826</xdr:colOff>
      <xdr:row>33</xdr:row>
      <xdr:rowOff>97155</xdr:rowOff>
    </xdr:to>
    <xdr:sp macro="" textlink="">
      <xdr:nvSpPr>
        <xdr:cNvPr id="43" name="CaixaDeTexto 33">
          <a:extLst>
            <a:ext uri="{FF2B5EF4-FFF2-40B4-BE49-F238E27FC236}">
              <a16:creationId xmlns:a16="http://schemas.microsoft.com/office/drawing/2014/main" id="{9CF5CE8D-3D93-46BF-B15A-4378C8FD5AA3}"/>
            </a:ext>
          </a:extLst>
        </xdr:cNvPr>
        <xdr:cNvSpPr txBox="1"/>
      </xdr:nvSpPr>
      <xdr:spPr>
        <a:xfrm>
          <a:off x="9588716" y="5775424"/>
          <a:ext cx="1456910" cy="646331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PIPE NÃO CONVERTIDO</a:t>
          </a:r>
        </a:p>
      </xdr:txBody>
    </xdr:sp>
    <xdr:clientData/>
  </xdr:twoCellAnchor>
  <xdr:twoCellAnchor>
    <xdr:from>
      <xdr:col>15</xdr:col>
      <xdr:colOff>444716</xdr:colOff>
      <xdr:row>40</xdr:row>
      <xdr:rowOff>157845</xdr:rowOff>
    </xdr:from>
    <xdr:to>
      <xdr:col>18</xdr:col>
      <xdr:colOff>72826</xdr:colOff>
      <xdr:row>44</xdr:row>
      <xdr:rowOff>56030</xdr:rowOff>
    </xdr:to>
    <xdr:sp macro="" textlink="">
      <xdr:nvSpPr>
        <xdr:cNvPr id="44" name="CaixaDeTexto 34">
          <a:extLst>
            <a:ext uri="{FF2B5EF4-FFF2-40B4-BE49-F238E27FC236}">
              <a16:creationId xmlns:a16="http://schemas.microsoft.com/office/drawing/2014/main" id="{60BA2486-525B-4DBD-BF37-EB5D2D4A151D}"/>
            </a:ext>
          </a:extLst>
        </xdr:cNvPr>
        <xdr:cNvSpPr txBox="1"/>
      </xdr:nvSpPr>
      <xdr:spPr>
        <a:xfrm>
          <a:off x="9521481" y="7833874"/>
          <a:ext cx="1443463" cy="660185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PIPE CONVERTIDO</a:t>
          </a:r>
        </a:p>
      </xdr:txBody>
    </xdr:sp>
    <xdr:clientData/>
  </xdr:twoCellAnchor>
  <xdr:twoCellAnchor>
    <xdr:from>
      <xdr:col>15</xdr:col>
      <xdr:colOff>205230</xdr:colOff>
      <xdr:row>37</xdr:row>
      <xdr:rowOff>44501</xdr:rowOff>
    </xdr:from>
    <xdr:to>
      <xdr:col>15</xdr:col>
      <xdr:colOff>444716</xdr:colOff>
      <xdr:row>42</xdr:row>
      <xdr:rowOff>106938</xdr:rowOff>
    </xdr:to>
    <xdr:cxnSp macro="">
      <xdr:nvCxnSpPr>
        <xdr:cNvPr id="45" name="Conector: Angulado 44">
          <a:extLst>
            <a:ext uri="{FF2B5EF4-FFF2-40B4-BE49-F238E27FC236}">
              <a16:creationId xmlns:a16="http://schemas.microsoft.com/office/drawing/2014/main" id="{BC6BB172-B0CB-410C-B770-68A43CD6DD89}"/>
            </a:ext>
          </a:extLst>
        </xdr:cNvPr>
        <xdr:cNvCxnSpPr>
          <a:cxnSpLocks/>
          <a:stCxn id="35" idx="3"/>
          <a:endCxn id="44" idx="1"/>
        </xdr:cNvCxnSpPr>
      </xdr:nvCxnSpPr>
      <xdr:spPr>
        <a:xfrm>
          <a:off x="9281995" y="7149030"/>
          <a:ext cx="239486" cy="101493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205230</xdr:colOff>
      <xdr:row>31</xdr:row>
      <xdr:rowOff>154990</xdr:rowOff>
    </xdr:from>
    <xdr:to>
      <xdr:col>15</xdr:col>
      <xdr:colOff>444716</xdr:colOff>
      <xdr:row>37</xdr:row>
      <xdr:rowOff>44501</xdr:rowOff>
    </xdr:to>
    <xdr:cxnSp macro="">
      <xdr:nvCxnSpPr>
        <xdr:cNvPr id="46" name="Conector: Angulado 45">
          <a:extLst>
            <a:ext uri="{FF2B5EF4-FFF2-40B4-BE49-F238E27FC236}">
              <a16:creationId xmlns:a16="http://schemas.microsoft.com/office/drawing/2014/main" id="{139AF18F-18B8-4042-8CD6-E43B15CB7BC0}"/>
            </a:ext>
          </a:extLst>
        </xdr:cNvPr>
        <xdr:cNvCxnSpPr>
          <a:cxnSpLocks/>
          <a:stCxn id="35" idx="3"/>
          <a:endCxn id="43" idx="1"/>
        </xdr:cNvCxnSpPr>
      </xdr:nvCxnSpPr>
      <xdr:spPr>
        <a:xfrm flipV="1">
          <a:off x="9349230" y="6098590"/>
          <a:ext cx="239486" cy="1032511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312313</xdr:colOff>
      <xdr:row>26</xdr:row>
      <xdr:rowOff>187591</xdr:rowOff>
    </xdr:from>
    <xdr:to>
      <xdr:col>20</xdr:col>
      <xdr:colOff>543673</xdr:colOff>
      <xdr:row>28</xdr:row>
      <xdr:rowOff>175923</xdr:rowOff>
    </xdr:to>
    <xdr:sp macro="" textlink="">
      <xdr:nvSpPr>
        <xdr:cNvPr id="47" name="CaixaDeTexto 37">
          <a:extLst>
            <a:ext uri="{FF2B5EF4-FFF2-40B4-BE49-F238E27FC236}">
              <a16:creationId xmlns:a16="http://schemas.microsoft.com/office/drawing/2014/main" id="{6D839FA5-CAE6-47B3-BA66-06D39274A105}"/>
            </a:ext>
          </a:extLst>
        </xdr:cNvPr>
        <xdr:cNvSpPr txBox="1"/>
      </xdr:nvSpPr>
      <xdr:spPr>
        <a:xfrm>
          <a:off x="11285113" y="5178691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NPS</a:t>
          </a:r>
        </a:p>
      </xdr:txBody>
    </xdr:sp>
    <xdr:clientData/>
  </xdr:twoCellAnchor>
  <xdr:twoCellAnchor>
    <xdr:from>
      <xdr:col>18</xdr:col>
      <xdr:colOff>72826</xdr:colOff>
      <xdr:row>27</xdr:row>
      <xdr:rowOff>181757</xdr:rowOff>
    </xdr:from>
    <xdr:to>
      <xdr:col>18</xdr:col>
      <xdr:colOff>312313</xdr:colOff>
      <xdr:row>31</xdr:row>
      <xdr:rowOff>154990</xdr:rowOff>
    </xdr:to>
    <xdr:cxnSp macro="">
      <xdr:nvCxnSpPr>
        <xdr:cNvPr id="48" name="Conector: Angulado 47">
          <a:extLst>
            <a:ext uri="{FF2B5EF4-FFF2-40B4-BE49-F238E27FC236}">
              <a16:creationId xmlns:a16="http://schemas.microsoft.com/office/drawing/2014/main" id="{8F13BC30-6C94-40F4-9A86-D9870BB5E2FB}"/>
            </a:ext>
          </a:extLst>
        </xdr:cNvPr>
        <xdr:cNvCxnSpPr>
          <a:cxnSpLocks/>
          <a:stCxn id="43" idx="3"/>
          <a:endCxn id="47" idx="1"/>
        </xdr:cNvCxnSpPr>
      </xdr:nvCxnSpPr>
      <xdr:spPr>
        <a:xfrm flipV="1">
          <a:off x="11045626" y="5363357"/>
          <a:ext cx="239487" cy="73523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401934</xdr:colOff>
      <xdr:row>15</xdr:row>
      <xdr:rowOff>83895</xdr:rowOff>
    </xdr:from>
    <xdr:to>
      <xdr:col>18</xdr:col>
      <xdr:colOff>30044</xdr:colOff>
      <xdr:row>17</xdr:row>
      <xdr:rowOff>41449</xdr:rowOff>
    </xdr:to>
    <xdr:sp macro="" textlink="">
      <xdr:nvSpPr>
        <xdr:cNvPr id="49" name="CaixaDeTexto 43">
          <a:extLst>
            <a:ext uri="{FF2B5EF4-FFF2-40B4-BE49-F238E27FC236}">
              <a16:creationId xmlns:a16="http://schemas.microsoft.com/office/drawing/2014/main" id="{D3720A79-0FF7-4513-A719-79FE50C9DFAD}"/>
            </a:ext>
          </a:extLst>
        </xdr:cNvPr>
        <xdr:cNvSpPr txBox="1"/>
      </xdr:nvSpPr>
      <xdr:spPr>
        <a:xfrm>
          <a:off x="9545934" y="2979495"/>
          <a:ext cx="1456910" cy="338554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6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ATIVAÇÃO CONTAS</a:t>
          </a:r>
        </a:p>
      </xdr:txBody>
    </xdr:sp>
    <xdr:clientData/>
  </xdr:twoCellAnchor>
  <xdr:twoCellAnchor>
    <xdr:from>
      <xdr:col>15</xdr:col>
      <xdr:colOff>401934</xdr:colOff>
      <xdr:row>22</xdr:row>
      <xdr:rowOff>52684</xdr:rowOff>
    </xdr:from>
    <xdr:to>
      <xdr:col>18</xdr:col>
      <xdr:colOff>30044</xdr:colOff>
      <xdr:row>24</xdr:row>
      <xdr:rowOff>41016</xdr:rowOff>
    </xdr:to>
    <xdr:sp macro="" textlink="">
      <xdr:nvSpPr>
        <xdr:cNvPr id="50" name="CaixaDeTexto 44">
          <a:extLst>
            <a:ext uri="{FF2B5EF4-FFF2-40B4-BE49-F238E27FC236}">
              <a16:creationId xmlns:a16="http://schemas.microsoft.com/office/drawing/2014/main" id="{5162F076-CAAD-4ABC-B632-7C02A29EF3E5}"/>
            </a:ext>
          </a:extLst>
        </xdr:cNvPr>
        <xdr:cNvSpPr txBox="1"/>
      </xdr:nvSpPr>
      <xdr:spPr>
        <a:xfrm>
          <a:off x="9545934" y="4281784"/>
          <a:ext cx="145691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TICKET MÉDIO</a:t>
          </a:r>
        </a:p>
      </xdr:txBody>
    </xdr:sp>
    <xdr:clientData/>
  </xdr:twoCellAnchor>
  <xdr:twoCellAnchor>
    <xdr:from>
      <xdr:col>18</xdr:col>
      <xdr:colOff>312313</xdr:colOff>
      <xdr:row>11</xdr:row>
      <xdr:rowOff>173335</xdr:rowOff>
    </xdr:from>
    <xdr:to>
      <xdr:col>20</xdr:col>
      <xdr:colOff>543673</xdr:colOff>
      <xdr:row>13</xdr:row>
      <xdr:rowOff>161667</xdr:rowOff>
    </xdr:to>
    <xdr:sp macro="" textlink="">
      <xdr:nvSpPr>
        <xdr:cNvPr id="51" name="CaixaDeTexto 45">
          <a:extLst>
            <a:ext uri="{FF2B5EF4-FFF2-40B4-BE49-F238E27FC236}">
              <a16:creationId xmlns:a16="http://schemas.microsoft.com/office/drawing/2014/main" id="{E59AAA73-3033-4ED9-8801-6DC3C0126F4E}"/>
            </a:ext>
          </a:extLst>
        </xdr:cNvPr>
        <xdr:cNvSpPr txBox="1"/>
      </xdr:nvSpPr>
      <xdr:spPr>
        <a:xfrm>
          <a:off x="11285113" y="2306935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HABILITAÇÃO</a:t>
          </a:r>
        </a:p>
      </xdr:txBody>
    </xdr:sp>
    <xdr:clientData/>
  </xdr:twoCellAnchor>
  <xdr:twoCellAnchor>
    <xdr:from>
      <xdr:col>18</xdr:col>
      <xdr:colOff>312313</xdr:colOff>
      <xdr:row>19</xdr:row>
      <xdr:rowOff>18030</xdr:rowOff>
    </xdr:from>
    <xdr:to>
      <xdr:col>20</xdr:col>
      <xdr:colOff>543673</xdr:colOff>
      <xdr:row>21</xdr:row>
      <xdr:rowOff>6362</xdr:rowOff>
    </xdr:to>
    <xdr:sp macro="" textlink="">
      <xdr:nvSpPr>
        <xdr:cNvPr id="52" name="CaixaDeTexto 46">
          <a:extLst>
            <a:ext uri="{FF2B5EF4-FFF2-40B4-BE49-F238E27FC236}">
              <a16:creationId xmlns:a16="http://schemas.microsoft.com/office/drawing/2014/main" id="{1627F7F6-0F25-4A03-9934-80344F2E40D3}"/>
            </a:ext>
          </a:extLst>
        </xdr:cNvPr>
        <xdr:cNvSpPr txBox="1"/>
      </xdr:nvSpPr>
      <xdr:spPr>
        <a:xfrm>
          <a:off x="11285113" y="3675630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CONVERSÃO</a:t>
          </a:r>
        </a:p>
      </xdr:txBody>
    </xdr:sp>
    <xdr:clientData/>
  </xdr:twoCellAnchor>
  <xdr:twoCellAnchor>
    <xdr:from>
      <xdr:col>12</xdr:col>
      <xdr:colOff>554454</xdr:colOff>
      <xdr:row>18</xdr:row>
      <xdr:rowOff>176797</xdr:rowOff>
    </xdr:from>
    <xdr:to>
      <xdr:col>15</xdr:col>
      <xdr:colOff>182564</xdr:colOff>
      <xdr:row>20</xdr:row>
      <xdr:rowOff>134351</xdr:rowOff>
    </xdr:to>
    <xdr:sp macro="" textlink="">
      <xdr:nvSpPr>
        <xdr:cNvPr id="53" name="CaixaDeTexto 48">
          <a:extLst>
            <a:ext uri="{FF2B5EF4-FFF2-40B4-BE49-F238E27FC236}">
              <a16:creationId xmlns:a16="http://schemas.microsoft.com/office/drawing/2014/main" id="{4262531D-B8A5-42A2-8F93-B3D2F9F771FA}"/>
            </a:ext>
          </a:extLst>
        </xdr:cNvPr>
        <xdr:cNvSpPr txBox="1"/>
      </xdr:nvSpPr>
      <xdr:spPr>
        <a:xfrm>
          <a:off x="7869654" y="3643897"/>
          <a:ext cx="1456910" cy="338554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6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PRIMEIRO APORTE</a:t>
          </a:r>
        </a:p>
      </xdr:txBody>
    </xdr:sp>
    <xdr:clientData/>
  </xdr:twoCellAnchor>
  <xdr:twoCellAnchor>
    <xdr:from>
      <xdr:col>15</xdr:col>
      <xdr:colOff>182564</xdr:colOff>
      <xdr:row>19</xdr:row>
      <xdr:rowOff>155574</xdr:rowOff>
    </xdr:from>
    <xdr:to>
      <xdr:col>15</xdr:col>
      <xdr:colOff>401934</xdr:colOff>
      <xdr:row>23</xdr:row>
      <xdr:rowOff>46850</xdr:rowOff>
    </xdr:to>
    <xdr:cxnSp macro="">
      <xdr:nvCxnSpPr>
        <xdr:cNvPr id="54" name="Conector: Angulado 53">
          <a:extLst>
            <a:ext uri="{FF2B5EF4-FFF2-40B4-BE49-F238E27FC236}">
              <a16:creationId xmlns:a16="http://schemas.microsoft.com/office/drawing/2014/main" id="{38222C83-28A6-4F65-81FF-3720044818E1}"/>
            </a:ext>
          </a:extLst>
        </xdr:cNvPr>
        <xdr:cNvCxnSpPr>
          <a:cxnSpLocks/>
          <a:stCxn id="53" idx="3"/>
          <a:endCxn id="50" idx="1"/>
        </xdr:cNvCxnSpPr>
      </xdr:nvCxnSpPr>
      <xdr:spPr>
        <a:xfrm>
          <a:off x="9326564" y="3813174"/>
          <a:ext cx="219370" cy="653276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182564</xdr:colOff>
      <xdr:row>16</xdr:row>
      <xdr:rowOff>62672</xdr:rowOff>
    </xdr:from>
    <xdr:to>
      <xdr:col>15</xdr:col>
      <xdr:colOff>401934</xdr:colOff>
      <xdr:row>19</xdr:row>
      <xdr:rowOff>155574</xdr:rowOff>
    </xdr:to>
    <xdr:cxnSp macro="">
      <xdr:nvCxnSpPr>
        <xdr:cNvPr id="55" name="Conector: Angulado 54">
          <a:extLst>
            <a:ext uri="{FF2B5EF4-FFF2-40B4-BE49-F238E27FC236}">
              <a16:creationId xmlns:a16="http://schemas.microsoft.com/office/drawing/2014/main" id="{9E3A5DC9-6899-4C94-BB55-F5F80D8C76C7}"/>
            </a:ext>
          </a:extLst>
        </xdr:cNvPr>
        <xdr:cNvCxnSpPr>
          <a:cxnSpLocks/>
          <a:stCxn id="49" idx="1"/>
          <a:endCxn id="53" idx="3"/>
        </xdr:cNvCxnSpPr>
      </xdr:nvCxnSpPr>
      <xdr:spPr>
        <a:xfrm rot="10800000" flipV="1">
          <a:off x="9326564" y="3148772"/>
          <a:ext cx="219370" cy="664402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30045</xdr:colOff>
      <xdr:row>12</xdr:row>
      <xdr:rowOff>167500</xdr:rowOff>
    </xdr:from>
    <xdr:to>
      <xdr:col>18</xdr:col>
      <xdr:colOff>312314</xdr:colOff>
      <xdr:row>16</xdr:row>
      <xdr:rowOff>62671</xdr:rowOff>
    </xdr:to>
    <xdr:cxnSp macro="">
      <xdr:nvCxnSpPr>
        <xdr:cNvPr id="56" name="Conector: Angulado 55">
          <a:extLst>
            <a:ext uri="{FF2B5EF4-FFF2-40B4-BE49-F238E27FC236}">
              <a16:creationId xmlns:a16="http://schemas.microsoft.com/office/drawing/2014/main" id="{82C93901-DE7A-429A-94FA-64F09870EFED}"/>
            </a:ext>
          </a:extLst>
        </xdr:cNvPr>
        <xdr:cNvCxnSpPr>
          <a:cxnSpLocks/>
          <a:stCxn id="51" idx="1"/>
          <a:endCxn id="49" idx="3"/>
        </xdr:cNvCxnSpPr>
      </xdr:nvCxnSpPr>
      <xdr:spPr>
        <a:xfrm rot="10800000" flipV="1">
          <a:off x="11002845" y="2491600"/>
          <a:ext cx="282269" cy="657171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30045</xdr:colOff>
      <xdr:row>16</xdr:row>
      <xdr:rowOff>62672</xdr:rowOff>
    </xdr:from>
    <xdr:to>
      <xdr:col>18</xdr:col>
      <xdr:colOff>312314</xdr:colOff>
      <xdr:row>20</xdr:row>
      <xdr:rowOff>12196</xdr:rowOff>
    </xdr:to>
    <xdr:cxnSp macro="">
      <xdr:nvCxnSpPr>
        <xdr:cNvPr id="57" name="Conector: Angulado 56">
          <a:extLst>
            <a:ext uri="{FF2B5EF4-FFF2-40B4-BE49-F238E27FC236}">
              <a16:creationId xmlns:a16="http://schemas.microsoft.com/office/drawing/2014/main" id="{C3AB15E5-A16C-4A67-880B-4150DF4390D6}"/>
            </a:ext>
          </a:extLst>
        </xdr:cNvPr>
        <xdr:cNvCxnSpPr>
          <a:cxnSpLocks/>
          <a:stCxn id="52" idx="1"/>
          <a:endCxn id="49" idx="3"/>
        </xdr:cNvCxnSpPr>
      </xdr:nvCxnSpPr>
      <xdr:spPr>
        <a:xfrm rot="10800000">
          <a:off x="11002845" y="3148772"/>
          <a:ext cx="282269" cy="71152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401934</xdr:colOff>
      <xdr:row>13</xdr:row>
      <xdr:rowOff>55575</xdr:rowOff>
    </xdr:from>
    <xdr:to>
      <xdr:col>18</xdr:col>
      <xdr:colOff>30044</xdr:colOff>
      <xdr:row>15</xdr:row>
      <xdr:rowOff>43907</xdr:rowOff>
    </xdr:to>
    <xdr:sp macro="" textlink="">
      <xdr:nvSpPr>
        <xdr:cNvPr id="58" name="CaixaDeTexto 42">
          <a:extLst>
            <a:ext uri="{FF2B5EF4-FFF2-40B4-BE49-F238E27FC236}">
              <a16:creationId xmlns:a16="http://schemas.microsoft.com/office/drawing/2014/main" id="{18D147D7-6A43-4C0D-AE06-DC984C676499}"/>
            </a:ext>
          </a:extLst>
        </xdr:cNvPr>
        <xdr:cNvSpPr txBox="1"/>
      </xdr:nvSpPr>
      <xdr:spPr>
        <a:xfrm>
          <a:off x="9545934" y="2570175"/>
          <a:ext cx="1456910" cy="3693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Bahnschrift Condensed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401934</xdr:colOff>
      <xdr:row>24</xdr:row>
      <xdr:rowOff>93172</xdr:rowOff>
    </xdr:from>
    <xdr:to>
      <xdr:col>18</xdr:col>
      <xdr:colOff>30044</xdr:colOff>
      <xdr:row>26</xdr:row>
      <xdr:rowOff>81504</xdr:rowOff>
    </xdr:to>
    <xdr:sp macro="" textlink="">
      <xdr:nvSpPr>
        <xdr:cNvPr id="59" name="CaixaDeTexto 47">
          <a:extLst>
            <a:ext uri="{FF2B5EF4-FFF2-40B4-BE49-F238E27FC236}">
              <a16:creationId xmlns:a16="http://schemas.microsoft.com/office/drawing/2014/main" id="{3CA39A3D-26F6-401E-8FD3-FB6BED690F45}"/>
            </a:ext>
          </a:extLst>
        </xdr:cNvPr>
        <xdr:cNvSpPr txBox="1"/>
      </xdr:nvSpPr>
      <xdr:spPr>
        <a:xfrm>
          <a:off x="9545934" y="4703272"/>
          <a:ext cx="1456910" cy="3693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R$ </a:t>
          </a:r>
        </a:p>
      </xdr:txBody>
    </xdr:sp>
    <xdr:clientData/>
  </xdr:twoCellAnchor>
  <xdr:twoCellAnchor>
    <xdr:from>
      <xdr:col>12</xdr:col>
      <xdr:colOff>554453</xdr:colOff>
      <xdr:row>16</xdr:row>
      <xdr:rowOff>125569</xdr:rowOff>
    </xdr:from>
    <xdr:to>
      <xdr:col>15</xdr:col>
      <xdr:colOff>182563</xdr:colOff>
      <xdr:row>18</xdr:row>
      <xdr:rowOff>113901</xdr:rowOff>
    </xdr:to>
    <xdr:sp macro="" textlink="">
      <xdr:nvSpPr>
        <xdr:cNvPr id="60" name="CaixaDeTexto 53">
          <a:extLst>
            <a:ext uri="{FF2B5EF4-FFF2-40B4-BE49-F238E27FC236}">
              <a16:creationId xmlns:a16="http://schemas.microsoft.com/office/drawing/2014/main" id="{91374358-6E6D-4358-989F-75B0881ED1C1}"/>
            </a:ext>
          </a:extLst>
        </xdr:cNvPr>
        <xdr:cNvSpPr txBox="1"/>
      </xdr:nvSpPr>
      <xdr:spPr>
        <a:xfrm>
          <a:off x="7869653" y="3211669"/>
          <a:ext cx="1456910" cy="3693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R$ </a:t>
          </a:r>
        </a:p>
      </xdr:txBody>
    </xdr:sp>
    <xdr:clientData/>
  </xdr:twoCellAnchor>
  <xdr:twoCellAnchor>
    <xdr:from>
      <xdr:col>12</xdr:col>
      <xdr:colOff>565786</xdr:colOff>
      <xdr:row>38</xdr:row>
      <xdr:rowOff>95360</xdr:rowOff>
    </xdr:from>
    <xdr:to>
      <xdr:col>15</xdr:col>
      <xdr:colOff>193896</xdr:colOff>
      <xdr:row>40</xdr:row>
      <xdr:rowOff>83692</xdr:rowOff>
    </xdr:to>
    <xdr:sp macro="" textlink="">
      <xdr:nvSpPr>
        <xdr:cNvPr id="61" name="CaixaDeTexto 55">
          <a:extLst>
            <a:ext uri="{FF2B5EF4-FFF2-40B4-BE49-F238E27FC236}">
              <a16:creationId xmlns:a16="http://schemas.microsoft.com/office/drawing/2014/main" id="{1345BDAB-C5F5-407E-A6FF-34CEC07DF41D}"/>
            </a:ext>
          </a:extLst>
        </xdr:cNvPr>
        <xdr:cNvSpPr txBox="1"/>
      </xdr:nvSpPr>
      <xdr:spPr>
        <a:xfrm>
          <a:off x="7880986" y="7372460"/>
          <a:ext cx="1456910" cy="3693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R$ </a:t>
          </a:r>
        </a:p>
      </xdr:txBody>
    </xdr:sp>
    <xdr:clientData/>
  </xdr:twoCellAnchor>
  <xdr:twoCellAnchor>
    <xdr:from>
      <xdr:col>18</xdr:col>
      <xdr:colOff>312313</xdr:colOff>
      <xdr:row>9</xdr:row>
      <xdr:rowOff>156927</xdr:rowOff>
    </xdr:from>
    <xdr:to>
      <xdr:col>20</xdr:col>
      <xdr:colOff>543673</xdr:colOff>
      <xdr:row>11</xdr:row>
      <xdr:rowOff>145259</xdr:rowOff>
    </xdr:to>
    <xdr:sp macro="" textlink="">
      <xdr:nvSpPr>
        <xdr:cNvPr id="62" name="CaixaDeTexto 54">
          <a:extLst>
            <a:ext uri="{FF2B5EF4-FFF2-40B4-BE49-F238E27FC236}">
              <a16:creationId xmlns:a16="http://schemas.microsoft.com/office/drawing/2014/main" id="{5AFC4577-AF4B-4971-A895-C9FD8CF34D5E}"/>
            </a:ext>
          </a:extLst>
        </xdr:cNvPr>
        <xdr:cNvSpPr txBox="1"/>
      </xdr:nvSpPr>
      <xdr:spPr>
        <a:xfrm>
          <a:off x="11285113" y="1909527"/>
          <a:ext cx="1450560" cy="3693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Bahnschrift Condensed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327686</xdr:colOff>
      <xdr:row>21</xdr:row>
      <xdr:rowOff>76755</xdr:rowOff>
    </xdr:from>
    <xdr:to>
      <xdr:col>20</xdr:col>
      <xdr:colOff>559046</xdr:colOff>
      <xdr:row>23</xdr:row>
      <xdr:rowOff>65087</xdr:rowOff>
    </xdr:to>
    <xdr:sp macro="" textlink="">
      <xdr:nvSpPr>
        <xdr:cNvPr id="63" name="CaixaDeTexto 56">
          <a:extLst>
            <a:ext uri="{FF2B5EF4-FFF2-40B4-BE49-F238E27FC236}">
              <a16:creationId xmlns:a16="http://schemas.microsoft.com/office/drawing/2014/main" id="{19359325-2866-468E-B888-2248A389EF19}"/>
            </a:ext>
          </a:extLst>
        </xdr:cNvPr>
        <xdr:cNvSpPr txBox="1"/>
      </xdr:nvSpPr>
      <xdr:spPr>
        <a:xfrm>
          <a:off x="11300486" y="4115355"/>
          <a:ext cx="1450560" cy="3693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*%</a:t>
          </a:r>
        </a:p>
      </xdr:txBody>
    </xdr:sp>
    <xdr:clientData/>
  </xdr:twoCellAnchor>
  <xdr:twoCellAnchor>
    <xdr:from>
      <xdr:col>15</xdr:col>
      <xdr:colOff>403325</xdr:colOff>
      <xdr:row>18</xdr:row>
      <xdr:rowOff>38004</xdr:rowOff>
    </xdr:from>
    <xdr:to>
      <xdr:col>18</xdr:col>
      <xdr:colOff>31435</xdr:colOff>
      <xdr:row>20</xdr:row>
      <xdr:rowOff>26336</xdr:rowOff>
    </xdr:to>
    <xdr:sp macro="" textlink="">
      <xdr:nvSpPr>
        <xdr:cNvPr id="64" name="CaixaDeTexto 57">
          <a:extLst>
            <a:ext uri="{FF2B5EF4-FFF2-40B4-BE49-F238E27FC236}">
              <a16:creationId xmlns:a16="http://schemas.microsoft.com/office/drawing/2014/main" id="{5F42B645-072C-4974-9D71-90A339E9F611}"/>
            </a:ext>
          </a:extLst>
        </xdr:cNvPr>
        <xdr:cNvSpPr txBox="1"/>
      </xdr:nvSpPr>
      <xdr:spPr>
        <a:xfrm>
          <a:off x="9547325" y="3505104"/>
          <a:ext cx="1456910" cy="36933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1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PLD ?</a:t>
          </a:r>
        </a:p>
      </xdr:txBody>
    </xdr:sp>
    <xdr:clientData/>
  </xdr:twoCellAnchor>
  <xdr:twoCellAnchor>
    <xdr:from>
      <xdr:col>16</xdr:col>
      <xdr:colOff>517614</xdr:colOff>
      <xdr:row>17</xdr:row>
      <xdr:rowOff>41449</xdr:rowOff>
    </xdr:from>
    <xdr:to>
      <xdr:col>16</xdr:col>
      <xdr:colOff>519005</xdr:colOff>
      <xdr:row>18</xdr:row>
      <xdr:rowOff>38004</xdr:rowOff>
    </xdr:to>
    <xdr:cxnSp macro="">
      <xdr:nvCxnSpPr>
        <xdr:cNvPr id="65" name="Conector reto 64">
          <a:extLst>
            <a:ext uri="{FF2B5EF4-FFF2-40B4-BE49-F238E27FC236}">
              <a16:creationId xmlns:a16="http://schemas.microsoft.com/office/drawing/2014/main" id="{B394503A-870C-4886-9C48-13E4F8D1F734}"/>
            </a:ext>
          </a:extLst>
        </xdr:cNvPr>
        <xdr:cNvCxnSpPr>
          <a:stCxn id="49" idx="2"/>
          <a:endCxn id="64" idx="0"/>
        </xdr:cNvCxnSpPr>
      </xdr:nvCxnSpPr>
      <xdr:spPr>
        <a:xfrm>
          <a:off x="10271214" y="3318049"/>
          <a:ext cx="1391" cy="18705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310924</xdr:colOff>
      <xdr:row>15</xdr:row>
      <xdr:rowOff>27434</xdr:rowOff>
    </xdr:from>
    <xdr:to>
      <xdr:col>20</xdr:col>
      <xdr:colOff>542284</xdr:colOff>
      <xdr:row>17</xdr:row>
      <xdr:rowOff>15766</xdr:rowOff>
    </xdr:to>
    <xdr:sp macro="" textlink="">
      <xdr:nvSpPr>
        <xdr:cNvPr id="66" name="CaixaDeTexto 59">
          <a:extLst>
            <a:ext uri="{FF2B5EF4-FFF2-40B4-BE49-F238E27FC236}">
              <a16:creationId xmlns:a16="http://schemas.microsoft.com/office/drawing/2014/main" id="{35A1CACC-D342-49B3-98CF-E84DB9C7ABA5}"/>
            </a:ext>
          </a:extLst>
        </xdr:cNvPr>
        <xdr:cNvSpPr txBox="1"/>
      </xdr:nvSpPr>
      <xdr:spPr>
        <a:xfrm>
          <a:off x="11283724" y="2923034"/>
          <a:ext cx="1450560" cy="36933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1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PLD ?</a:t>
          </a:r>
        </a:p>
      </xdr:txBody>
    </xdr:sp>
    <xdr:clientData/>
  </xdr:twoCellAnchor>
  <xdr:twoCellAnchor>
    <xdr:from>
      <xdr:col>19</xdr:col>
      <xdr:colOff>426604</xdr:colOff>
      <xdr:row>13</xdr:row>
      <xdr:rowOff>161667</xdr:rowOff>
    </xdr:from>
    <xdr:to>
      <xdr:col>19</xdr:col>
      <xdr:colOff>427993</xdr:colOff>
      <xdr:row>15</xdr:row>
      <xdr:rowOff>27434</xdr:rowOff>
    </xdr:to>
    <xdr:cxnSp macro="">
      <xdr:nvCxnSpPr>
        <xdr:cNvPr id="67" name="Conector reto 66">
          <a:extLst>
            <a:ext uri="{FF2B5EF4-FFF2-40B4-BE49-F238E27FC236}">
              <a16:creationId xmlns:a16="http://schemas.microsoft.com/office/drawing/2014/main" id="{F286FDEF-00B8-434A-9289-695D8C907EAA}"/>
            </a:ext>
          </a:extLst>
        </xdr:cNvPr>
        <xdr:cNvCxnSpPr>
          <a:cxnSpLocks/>
          <a:stCxn id="51" idx="2"/>
          <a:endCxn id="66" idx="0"/>
        </xdr:cNvCxnSpPr>
      </xdr:nvCxnSpPr>
      <xdr:spPr>
        <a:xfrm flipH="1">
          <a:off x="12009004" y="2676267"/>
          <a:ext cx="1389" cy="246767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269014</xdr:colOff>
      <xdr:row>31</xdr:row>
      <xdr:rowOff>114300</xdr:rowOff>
    </xdr:from>
    <xdr:to>
      <xdr:col>21</xdr:col>
      <xdr:colOff>500374</xdr:colOff>
      <xdr:row>33</xdr:row>
      <xdr:rowOff>102632</xdr:rowOff>
    </xdr:to>
    <xdr:sp macro="" textlink="">
      <xdr:nvSpPr>
        <xdr:cNvPr id="68" name="CaixaDeTexto 61">
          <a:extLst>
            <a:ext uri="{FF2B5EF4-FFF2-40B4-BE49-F238E27FC236}">
              <a16:creationId xmlns:a16="http://schemas.microsoft.com/office/drawing/2014/main" id="{E08B1DE5-FFDB-48DF-8821-2DABC3FFF70C}"/>
            </a:ext>
          </a:extLst>
        </xdr:cNvPr>
        <xdr:cNvSpPr txBox="1"/>
      </xdr:nvSpPr>
      <xdr:spPr>
        <a:xfrm>
          <a:off x="11851414" y="6057900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PIPE COE</a:t>
          </a:r>
        </a:p>
      </xdr:txBody>
    </xdr:sp>
    <xdr:clientData/>
  </xdr:twoCellAnchor>
  <xdr:twoCellAnchor>
    <xdr:from>
      <xdr:col>18</xdr:col>
      <xdr:colOff>555624</xdr:colOff>
      <xdr:row>32</xdr:row>
      <xdr:rowOff>108467</xdr:rowOff>
    </xdr:from>
    <xdr:to>
      <xdr:col>19</xdr:col>
      <xdr:colOff>269013</xdr:colOff>
      <xdr:row>36</xdr:row>
      <xdr:rowOff>133243</xdr:rowOff>
    </xdr:to>
    <xdr:cxnSp macro="">
      <xdr:nvCxnSpPr>
        <xdr:cNvPr id="69" name="Conector: Angulado 68">
          <a:extLst>
            <a:ext uri="{FF2B5EF4-FFF2-40B4-BE49-F238E27FC236}">
              <a16:creationId xmlns:a16="http://schemas.microsoft.com/office/drawing/2014/main" id="{612A7AE4-8790-4AFE-9205-1C47C5E35329}"/>
            </a:ext>
          </a:extLst>
        </xdr:cNvPr>
        <xdr:cNvCxnSpPr>
          <a:cxnSpLocks/>
          <a:endCxn id="68" idx="1"/>
        </xdr:cNvCxnSpPr>
      </xdr:nvCxnSpPr>
      <xdr:spPr>
        <a:xfrm rot="5400000" flipH="1" flipV="1">
          <a:off x="11296531" y="6474460"/>
          <a:ext cx="786776" cy="322989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278896</xdr:colOff>
      <xdr:row>33</xdr:row>
      <xdr:rowOff>160315</xdr:rowOff>
    </xdr:from>
    <xdr:to>
      <xdr:col>21</xdr:col>
      <xdr:colOff>510256</xdr:colOff>
      <xdr:row>35</xdr:row>
      <xdr:rowOff>148647</xdr:rowOff>
    </xdr:to>
    <xdr:sp macro="" textlink="">
      <xdr:nvSpPr>
        <xdr:cNvPr id="70" name="CaixaDeTexto 63">
          <a:extLst>
            <a:ext uri="{FF2B5EF4-FFF2-40B4-BE49-F238E27FC236}">
              <a16:creationId xmlns:a16="http://schemas.microsoft.com/office/drawing/2014/main" id="{01A280C6-03A3-4646-A5F3-C9AE4322CEB6}"/>
            </a:ext>
          </a:extLst>
        </xdr:cNvPr>
        <xdr:cNvSpPr txBox="1"/>
      </xdr:nvSpPr>
      <xdr:spPr>
        <a:xfrm>
          <a:off x="11861296" y="6484915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PIPE RF</a:t>
          </a:r>
        </a:p>
      </xdr:txBody>
    </xdr:sp>
    <xdr:clientData/>
  </xdr:twoCellAnchor>
  <xdr:twoCellAnchor>
    <xdr:from>
      <xdr:col>19</xdr:col>
      <xdr:colOff>269014</xdr:colOff>
      <xdr:row>36</xdr:row>
      <xdr:rowOff>10385</xdr:rowOff>
    </xdr:from>
    <xdr:to>
      <xdr:col>21</xdr:col>
      <xdr:colOff>500374</xdr:colOff>
      <xdr:row>37</xdr:row>
      <xdr:rowOff>189217</xdr:rowOff>
    </xdr:to>
    <xdr:sp macro="" textlink="">
      <xdr:nvSpPr>
        <xdr:cNvPr id="71" name="CaixaDeTexto 65">
          <a:extLst>
            <a:ext uri="{FF2B5EF4-FFF2-40B4-BE49-F238E27FC236}">
              <a16:creationId xmlns:a16="http://schemas.microsoft.com/office/drawing/2014/main" id="{74DF60E9-F4D7-4004-98F2-32B94647F56E}"/>
            </a:ext>
          </a:extLst>
        </xdr:cNvPr>
        <xdr:cNvSpPr txBox="1"/>
      </xdr:nvSpPr>
      <xdr:spPr>
        <a:xfrm>
          <a:off x="11851414" y="6906485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PIPE FUNDOS</a:t>
          </a:r>
        </a:p>
      </xdr:txBody>
    </xdr:sp>
    <xdr:clientData/>
  </xdr:twoCellAnchor>
  <xdr:twoCellAnchor>
    <xdr:from>
      <xdr:col>19</xdr:col>
      <xdr:colOff>269014</xdr:colOff>
      <xdr:row>38</xdr:row>
      <xdr:rowOff>59310</xdr:rowOff>
    </xdr:from>
    <xdr:to>
      <xdr:col>21</xdr:col>
      <xdr:colOff>500374</xdr:colOff>
      <xdr:row>40</xdr:row>
      <xdr:rowOff>47642</xdr:rowOff>
    </xdr:to>
    <xdr:sp macro="" textlink="">
      <xdr:nvSpPr>
        <xdr:cNvPr id="72" name="CaixaDeTexto 66">
          <a:extLst>
            <a:ext uri="{FF2B5EF4-FFF2-40B4-BE49-F238E27FC236}">
              <a16:creationId xmlns:a16="http://schemas.microsoft.com/office/drawing/2014/main" id="{34FB786B-2B23-4510-81F1-559678BF3589}"/>
            </a:ext>
          </a:extLst>
        </xdr:cNvPr>
        <xdr:cNvSpPr txBox="1"/>
      </xdr:nvSpPr>
      <xdr:spPr>
        <a:xfrm>
          <a:off x="11851414" y="7336410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PIPE PREV</a:t>
          </a:r>
        </a:p>
      </xdr:txBody>
    </xdr:sp>
    <xdr:clientData/>
  </xdr:twoCellAnchor>
  <xdr:twoCellAnchor>
    <xdr:from>
      <xdr:col>19</xdr:col>
      <xdr:colOff>269014</xdr:colOff>
      <xdr:row>40</xdr:row>
      <xdr:rowOff>96970</xdr:rowOff>
    </xdr:from>
    <xdr:to>
      <xdr:col>21</xdr:col>
      <xdr:colOff>500374</xdr:colOff>
      <xdr:row>42</xdr:row>
      <xdr:rowOff>85302</xdr:rowOff>
    </xdr:to>
    <xdr:sp macro="" textlink="">
      <xdr:nvSpPr>
        <xdr:cNvPr id="73" name="CaixaDeTexto 67">
          <a:extLst>
            <a:ext uri="{FF2B5EF4-FFF2-40B4-BE49-F238E27FC236}">
              <a16:creationId xmlns:a16="http://schemas.microsoft.com/office/drawing/2014/main" id="{3813718D-2EA8-4CFD-83E5-797BEBAE4069}"/>
            </a:ext>
          </a:extLst>
        </xdr:cNvPr>
        <xdr:cNvSpPr txBox="1"/>
      </xdr:nvSpPr>
      <xdr:spPr>
        <a:xfrm>
          <a:off x="11851414" y="7755070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PIPE RV</a:t>
          </a:r>
        </a:p>
      </xdr:txBody>
    </xdr:sp>
    <xdr:clientData/>
  </xdr:twoCellAnchor>
  <xdr:twoCellAnchor>
    <xdr:from>
      <xdr:col>19</xdr:col>
      <xdr:colOff>269014</xdr:colOff>
      <xdr:row>42</xdr:row>
      <xdr:rowOff>153983</xdr:rowOff>
    </xdr:from>
    <xdr:to>
      <xdr:col>21</xdr:col>
      <xdr:colOff>500374</xdr:colOff>
      <xdr:row>44</xdr:row>
      <xdr:rowOff>142315</xdr:rowOff>
    </xdr:to>
    <xdr:sp macro="" textlink="">
      <xdr:nvSpPr>
        <xdr:cNvPr id="74" name="CaixaDeTexto 68">
          <a:extLst>
            <a:ext uri="{FF2B5EF4-FFF2-40B4-BE49-F238E27FC236}">
              <a16:creationId xmlns:a16="http://schemas.microsoft.com/office/drawing/2014/main" id="{9A7F5A9C-3134-4463-8812-C7E5243542D4}"/>
            </a:ext>
          </a:extLst>
        </xdr:cNvPr>
        <xdr:cNvSpPr txBox="1"/>
      </xdr:nvSpPr>
      <xdr:spPr>
        <a:xfrm>
          <a:off x="11851414" y="8193083"/>
          <a:ext cx="1450560" cy="369332"/>
        </a:xfrm>
        <a:prstGeom prst="rect">
          <a:avLst/>
        </a:prstGeom>
        <a:solidFill>
          <a:schemeClr val="bg1">
            <a:lumMod val="75000"/>
          </a:schemeClr>
        </a:solidFill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 Condensed" panose="020B0502040204020203" pitchFamily="34" charset="0"/>
              <a:ea typeface="+mn-ea"/>
              <a:cs typeface="+mn-cs"/>
            </a:rPr>
            <a:t>PIPE FIIS</a:t>
          </a:r>
        </a:p>
      </xdr:txBody>
    </xdr:sp>
    <xdr:clientData/>
  </xdr:twoCellAnchor>
  <xdr:twoCellAnchor>
    <xdr:from>
      <xdr:col>18</xdr:col>
      <xdr:colOff>555625</xdr:colOff>
      <xdr:row>34</xdr:row>
      <xdr:rowOff>154482</xdr:rowOff>
    </xdr:from>
    <xdr:to>
      <xdr:col>19</xdr:col>
      <xdr:colOff>278896</xdr:colOff>
      <xdr:row>36</xdr:row>
      <xdr:rowOff>133243</xdr:rowOff>
    </xdr:to>
    <xdr:cxnSp macro="">
      <xdr:nvCxnSpPr>
        <xdr:cNvPr id="75" name="Conector: Angulado 74">
          <a:extLst>
            <a:ext uri="{FF2B5EF4-FFF2-40B4-BE49-F238E27FC236}">
              <a16:creationId xmlns:a16="http://schemas.microsoft.com/office/drawing/2014/main" id="{8DD59FAA-3796-4611-9E2A-FCA59A976B8D}"/>
            </a:ext>
          </a:extLst>
        </xdr:cNvPr>
        <xdr:cNvCxnSpPr>
          <a:cxnSpLocks/>
          <a:endCxn id="70" idx="1"/>
        </xdr:cNvCxnSpPr>
      </xdr:nvCxnSpPr>
      <xdr:spPr>
        <a:xfrm rot="5400000" flipH="1" flipV="1">
          <a:off x="11514980" y="6683027"/>
          <a:ext cx="359761" cy="332871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563450</xdr:colOff>
      <xdr:row>37</xdr:row>
      <xdr:rowOff>4293</xdr:rowOff>
    </xdr:from>
    <xdr:to>
      <xdr:col>19</xdr:col>
      <xdr:colOff>269014</xdr:colOff>
      <xdr:row>37</xdr:row>
      <xdr:rowOff>4551</xdr:rowOff>
    </xdr:to>
    <xdr:cxnSp macro="">
      <xdr:nvCxnSpPr>
        <xdr:cNvPr id="76" name="Conector: Angulado 75">
          <a:extLst>
            <a:ext uri="{FF2B5EF4-FFF2-40B4-BE49-F238E27FC236}">
              <a16:creationId xmlns:a16="http://schemas.microsoft.com/office/drawing/2014/main" id="{028C53A4-8204-4739-A0D2-E11A1DB1EB94}"/>
            </a:ext>
          </a:extLst>
        </xdr:cNvPr>
        <xdr:cNvCxnSpPr>
          <a:cxnSpLocks/>
          <a:endCxn id="71" idx="1"/>
        </xdr:cNvCxnSpPr>
      </xdr:nvCxnSpPr>
      <xdr:spPr>
        <a:xfrm>
          <a:off x="11536250" y="7090893"/>
          <a:ext cx="315164" cy="258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555624</xdr:colOff>
      <xdr:row>36</xdr:row>
      <xdr:rowOff>133242</xdr:rowOff>
    </xdr:from>
    <xdr:to>
      <xdr:col>19</xdr:col>
      <xdr:colOff>269013</xdr:colOff>
      <xdr:row>39</xdr:row>
      <xdr:rowOff>53476</xdr:rowOff>
    </xdr:to>
    <xdr:cxnSp macro="">
      <xdr:nvCxnSpPr>
        <xdr:cNvPr id="77" name="Conector: Angulado 76">
          <a:extLst>
            <a:ext uri="{FF2B5EF4-FFF2-40B4-BE49-F238E27FC236}">
              <a16:creationId xmlns:a16="http://schemas.microsoft.com/office/drawing/2014/main" id="{14918E06-8735-466E-85D6-7024E20A9624}"/>
            </a:ext>
          </a:extLst>
        </xdr:cNvPr>
        <xdr:cNvCxnSpPr>
          <a:cxnSpLocks/>
          <a:endCxn id="72" idx="1"/>
        </xdr:cNvCxnSpPr>
      </xdr:nvCxnSpPr>
      <xdr:spPr>
        <a:xfrm rot="16200000" flipH="1">
          <a:off x="11444052" y="7113714"/>
          <a:ext cx="491734" cy="322989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555624</xdr:colOff>
      <xdr:row>36</xdr:row>
      <xdr:rowOff>133242</xdr:rowOff>
    </xdr:from>
    <xdr:to>
      <xdr:col>19</xdr:col>
      <xdr:colOff>269013</xdr:colOff>
      <xdr:row>41</xdr:row>
      <xdr:rowOff>91136</xdr:rowOff>
    </xdr:to>
    <xdr:cxnSp macro="">
      <xdr:nvCxnSpPr>
        <xdr:cNvPr id="78" name="Conector: Angulado 77">
          <a:extLst>
            <a:ext uri="{FF2B5EF4-FFF2-40B4-BE49-F238E27FC236}">
              <a16:creationId xmlns:a16="http://schemas.microsoft.com/office/drawing/2014/main" id="{0CD0E764-060C-410C-9DC8-0EBB7AD98B56}"/>
            </a:ext>
          </a:extLst>
        </xdr:cNvPr>
        <xdr:cNvCxnSpPr>
          <a:cxnSpLocks/>
          <a:endCxn id="73" idx="1"/>
        </xdr:cNvCxnSpPr>
      </xdr:nvCxnSpPr>
      <xdr:spPr>
        <a:xfrm rot="16200000" flipH="1">
          <a:off x="11234722" y="7323044"/>
          <a:ext cx="910394" cy="322989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556745</xdr:colOff>
      <xdr:row>37</xdr:row>
      <xdr:rowOff>11004</xdr:rowOff>
    </xdr:from>
    <xdr:to>
      <xdr:col>19</xdr:col>
      <xdr:colOff>269013</xdr:colOff>
      <xdr:row>43</xdr:row>
      <xdr:rowOff>148150</xdr:rowOff>
    </xdr:to>
    <xdr:cxnSp macro="">
      <xdr:nvCxnSpPr>
        <xdr:cNvPr id="79" name="Conector: Angulado 78">
          <a:extLst>
            <a:ext uri="{FF2B5EF4-FFF2-40B4-BE49-F238E27FC236}">
              <a16:creationId xmlns:a16="http://schemas.microsoft.com/office/drawing/2014/main" id="{1762F12F-BB41-40CC-85B4-67E4145CA8ED}"/>
            </a:ext>
          </a:extLst>
        </xdr:cNvPr>
        <xdr:cNvCxnSpPr>
          <a:cxnSpLocks/>
          <a:endCxn id="74" idx="1"/>
        </xdr:cNvCxnSpPr>
      </xdr:nvCxnSpPr>
      <xdr:spPr>
        <a:xfrm rot="16200000" flipH="1">
          <a:off x="11050406" y="7576743"/>
          <a:ext cx="1280146" cy="321868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37646</xdr:rowOff>
    </xdr:from>
    <xdr:to>
      <xdr:col>9</xdr:col>
      <xdr:colOff>434522</xdr:colOff>
      <xdr:row>3</xdr:row>
      <xdr:rowOff>136071</xdr:rowOff>
    </xdr:to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C1D4C203-ACFC-43EF-A1DC-E8924B0E6CA8}"/>
            </a:ext>
          </a:extLst>
        </xdr:cNvPr>
        <xdr:cNvSpPr txBox="1"/>
      </xdr:nvSpPr>
      <xdr:spPr>
        <a:xfrm>
          <a:off x="0" y="37646"/>
          <a:ext cx="5920922" cy="669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3600" b="1">
              <a:latin typeface="Bahnschrift" panose="020B0502040204020203" pitchFamily="34" charset="0"/>
              <a:ea typeface="Roboto" panose="02000000000000000000" pitchFamily="2" charset="0"/>
            </a:rPr>
            <a:t>Árvore</a:t>
          </a:r>
          <a:r>
            <a:rPr lang="pt-BR" sz="3600" b="1" baseline="0">
              <a:latin typeface="Bahnschrift" panose="020B0502040204020203" pitchFamily="34" charset="0"/>
              <a:ea typeface="Roboto" panose="02000000000000000000" pitchFamily="2" charset="0"/>
            </a:rPr>
            <a:t> de Alavancas</a:t>
          </a:r>
          <a:endParaRPr lang="pt-BR" sz="3600" b="1">
            <a:latin typeface="Bahnschrift" panose="020B0502040204020203" pitchFamily="34" charset="0"/>
            <a:ea typeface="Roboto" panose="02000000000000000000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342527</xdr:colOff>
      <xdr:row>20</xdr:row>
      <xdr:rowOff>123825</xdr:rowOff>
    </xdr:from>
    <xdr:to>
      <xdr:col>5</xdr:col>
      <xdr:colOff>800101</xdr:colOff>
      <xdr:row>22</xdr:row>
      <xdr:rowOff>76200</xdr:rowOff>
    </xdr:to>
    <xdr:sp macro="" textlink="">
      <xdr:nvSpPr>
        <xdr:cNvPr id="6" name="Seta: para a Direita 2">
          <a:extLst>
            <a:ext uri="{FF2B5EF4-FFF2-40B4-BE49-F238E27FC236}">
              <a16:creationId xmlns:a16="http://schemas.microsoft.com/office/drawing/2014/main" id="{9F811871-2FDD-4347-9B46-BC05E5835600}"/>
            </a:ext>
          </a:extLst>
        </xdr:cNvPr>
        <xdr:cNvSpPr/>
      </xdr:nvSpPr>
      <xdr:spPr>
        <a:xfrm>
          <a:off x="6887563" y="4015468"/>
          <a:ext cx="457574" cy="292553"/>
        </a:xfrm>
        <a:prstGeom prst="rightArrow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78442</xdr:colOff>
      <xdr:row>2</xdr:row>
      <xdr:rowOff>67234</xdr:rowOff>
    </xdr:from>
    <xdr:to>
      <xdr:col>2</xdr:col>
      <xdr:colOff>406042</xdr:colOff>
      <xdr:row>2</xdr:row>
      <xdr:rowOff>229659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93A8CAFC-EBAA-47B6-9A3C-7B73F9516A7B}"/>
            </a:ext>
          </a:extLst>
        </xdr:cNvPr>
        <xdr:cNvSpPr/>
      </xdr:nvSpPr>
      <xdr:spPr>
        <a:xfrm>
          <a:off x="1019736" y="459440"/>
          <a:ext cx="327600" cy="162425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78442</xdr:colOff>
      <xdr:row>3</xdr:row>
      <xdr:rowOff>64059</xdr:rowOff>
    </xdr:from>
    <xdr:to>
      <xdr:col>2</xdr:col>
      <xdr:colOff>406042</xdr:colOff>
      <xdr:row>3</xdr:row>
      <xdr:rowOff>236009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8DEFB0C0-FB7A-4F60-8A12-C038273CECD5}"/>
            </a:ext>
          </a:extLst>
        </xdr:cNvPr>
        <xdr:cNvSpPr/>
      </xdr:nvSpPr>
      <xdr:spPr>
        <a:xfrm>
          <a:off x="1019736" y="736412"/>
          <a:ext cx="327600" cy="1719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78442</xdr:colOff>
      <xdr:row>4</xdr:row>
      <xdr:rowOff>64059</xdr:rowOff>
    </xdr:from>
    <xdr:to>
      <xdr:col>2</xdr:col>
      <xdr:colOff>406042</xdr:colOff>
      <xdr:row>4</xdr:row>
      <xdr:rowOff>236009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8321015D-BAE4-4598-824F-42A208254D19}"/>
            </a:ext>
          </a:extLst>
        </xdr:cNvPr>
        <xdr:cNvSpPr/>
      </xdr:nvSpPr>
      <xdr:spPr>
        <a:xfrm>
          <a:off x="1019736" y="1016559"/>
          <a:ext cx="327600" cy="171950"/>
        </a:xfrm>
        <a:prstGeom prst="rect">
          <a:avLst/>
        </a:prstGeom>
        <a:solidFill>
          <a:schemeClr val="accent6">
            <a:lumMod val="5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2625539</xdr:colOff>
      <xdr:row>18</xdr:row>
      <xdr:rowOff>82364</xdr:rowOff>
    </xdr:from>
    <xdr:to>
      <xdr:col>2</xdr:col>
      <xdr:colOff>2909660</xdr:colOff>
      <xdr:row>20</xdr:row>
      <xdr:rowOff>52089</xdr:rowOff>
    </xdr:to>
    <xdr:sp macro="" textlink="">
      <xdr:nvSpPr>
        <xdr:cNvPr id="13" name="Seta: para a Direita 12">
          <a:extLst>
            <a:ext uri="{FF2B5EF4-FFF2-40B4-BE49-F238E27FC236}">
              <a16:creationId xmlns:a16="http://schemas.microsoft.com/office/drawing/2014/main" id="{752B70AD-4613-4214-9037-7F7510D84FDE}"/>
            </a:ext>
          </a:extLst>
        </xdr:cNvPr>
        <xdr:cNvSpPr/>
      </xdr:nvSpPr>
      <xdr:spPr>
        <a:xfrm rot="5400000">
          <a:off x="3544737" y="3957416"/>
          <a:ext cx="350725" cy="284121"/>
        </a:xfrm>
        <a:prstGeom prst="rightArrow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480448</xdr:colOff>
      <xdr:row>28</xdr:row>
      <xdr:rowOff>44261</xdr:rowOff>
    </xdr:from>
    <xdr:to>
      <xdr:col>5</xdr:col>
      <xdr:colOff>832873</xdr:colOff>
      <xdr:row>30</xdr:row>
      <xdr:rowOff>81830</xdr:rowOff>
    </xdr:to>
    <xdr:sp macro="" textlink="">
      <xdr:nvSpPr>
        <xdr:cNvPr id="37" name="Seta: para a Direita 1">
          <a:extLst>
            <a:ext uri="{FF2B5EF4-FFF2-40B4-BE49-F238E27FC236}">
              <a16:creationId xmlns:a16="http://schemas.microsoft.com/office/drawing/2014/main" id="{C8DFD185-4198-4CE4-B672-2D807C30DF60}"/>
            </a:ext>
          </a:extLst>
        </xdr:cNvPr>
        <xdr:cNvSpPr/>
      </xdr:nvSpPr>
      <xdr:spPr>
        <a:xfrm rot="5400000">
          <a:off x="7326543" y="5220833"/>
          <a:ext cx="376235" cy="352425"/>
        </a:xfrm>
        <a:prstGeom prst="rightArrow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473040</xdr:colOff>
      <xdr:row>38</xdr:row>
      <xdr:rowOff>150549</xdr:rowOff>
    </xdr:from>
    <xdr:to>
      <xdr:col>5</xdr:col>
      <xdr:colOff>831815</xdr:colOff>
      <xdr:row>40</xdr:row>
      <xdr:rowOff>132780</xdr:rowOff>
    </xdr:to>
    <xdr:sp macro="" textlink="">
      <xdr:nvSpPr>
        <xdr:cNvPr id="29" name="Seta: para a Direita 3">
          <a:extLst>
            <a:ext uri="{FF2B5EF4-FFF2-40B4-BE49-F238E27FC236}">
              <a16:creationId xmlns:a16="http://schemas.microsoft.com/office/drawing/2014/main" id="{4E256D67-652D-4F05-888B-E672078A6951}"/>
            </a:ext>
          </a:extLst>
        </xdr:cNvPr>
        <xdr:cNvSpPr/>
      </xdr:nvSpPr>
      <xdr:spPr>
        <a:xfrm rot="5400000">
          <a:off x="7312937" y="6984319"/>
          <a:ext cx="394981" cy="358775"/>
        </a:xfrm>
        <a:prstGeom prst="rightArrow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342527</xdr:colOff>
      <xdr:row>20</xdr:row>
      <xdr:rowOff>123825</xdr:rowOff>
    </xdr:from>
    <xdr:to>
      <xdr:col>5</xdr:col>
      <xdr:colOff>800101</xdr:colOff>
      <xdr:row>22</xdr:row>
      <xdr:rowOff>76200</xdr:rowOff>
    </xdr:to>
    <xdr:sp macro="" textlink="">
      <xdr:nvSpPr>
        <xdr:cNvPr id="2" name="Seta: para a Direita 2">
          <a:extLst>
            <a:ext uri="{FF2B5EF4-FFF2-40B4-BE49-F238E27FC236}">
              <a16:creationId xmlns:a16="http://schemas.microsoft.com/office/drawing/2014/main" id="{FB46DEE3-790F-43CC-941C-3508187C4B7D}"/>
            </a:ext>
          </a:extLst>
        </xdr:cNvPr>
        <xdr:cNvSpPr/>
      </xdr:nvSpPr>
      <xdr:spPr>
        <a:xfrm>
          <a:off x="6887563" y="4015468"/>
          <a:ext cx="457574" cy="292553"/>
        </a:xfrm>
        <a:prstGeom prst="rightArrow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299357</xdr:colOff>
      <xdr:row>25</xdr:row>
      <xdr:rowOff>40821</xdr:rowOff>
    </xdr:from>
    <xdr:to>
      <xdr:col>11</xdr:col>
      <xdr:colOff>756931</xdr:colOff>
      <xdr:row>26</xdr:row>
      <xdr:rowOff>153306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43E20609-FCE8-4312-9F35-7BEA6DA0E6D5}"/>
            </a:ext>
          </a:extLst>
        </xdr:cNvPr>
        <xdr:cNvSpPr/>
      </xdr:nvSpPr>
      <xdr:spPr>
        <a:xfrm>
          <a:off x="18587357" y="4803321"/>
          <a:ext cx="457574" cy="289378"/>
        </a:xfrm>
        <a:prstGeom prst="rightArrow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282575</xdr:colOff>
      <xdr:row>34</xdr:row>
      <xdr:rowOff>163285</xdr:rowOff>
    </xdr:from>
    <xdr:to>
      <xdr:col>11</xdr:col>
      <xdr:colOff>740149</xdr:colOff>
      <xdr:row>36</xdr:row>
      <xdr:rowOff>118834</xdr:rowOff>
    </xdr:to>
    <xdr:sp macro="" textlink="">
      <xdr:nvSpPr>
        <xdr:cNvPr id="4" name="Seta: para a Direita 2">
          <a:extLst>
            <a:ext uri="{FF2B5EF4-FFF2-40B4-BE49-F238E27FC236}">
              <a16:creationId xmlns:a16="http://schemas.microsoft.com/office/drawing/2014/main" id="{DBA3B708-E144-409D-9CEA-B8A04ED06064}"/>
            </a:ext>
          </a:extLst>
        </xdr:cNvPr>
        <xdr:cNvSpPr/>
      </xdr:nvSpPr>
      <xdr:spPr>
        <a:xfrm>
          <a:off x="18570575" y="6463392"/>
          <a:ext cx="457574" cy="295728"/>
        </a:xfrm>
        <a:prstGeom prst="rightArrow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1</xdr:row>
      <xdr:rowOff>50800</xdr:rowOff>
    </xdr:from>
    <xdr:to>
      <xdr:col>19</xdr:col>
      <xdr:colOff>387350</xdr:colOff>
      <xdr:row>3</xdr:row>
      <xdr:rowOff>158750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E8600379-451B-40A6-9DCE-53E5D389A27E}"/>
            </a:ext>
          </a:extLst>
        </xdr:cNvPr>
        <xdr:cNvSpPr/>
      </xdr:nvSpPr>
      <xdr:spPr>
        <a:xfrm>
          <a:off x="285750" y="114300"/>
          <a:ext cx="11385550" cy="476250"/>
        </a:xfrm>
        <a:prstGeom prst="roundRect">
          <a:avLst/>
        </a:prstGeom>
        <a:solidFill>
          <a:schemeClr val="bg1">
            <a:lumMod val="7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8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120650</xdr:colOff>
      <xdr:row>7</xdr:row>
      <xdr:rowOff>76200</xdr:rowOff>
    </xdr:from>
    <xdr:to>
      <xdr:col>19</xdr:col>
      <xdr:colOff>387350</xdr:colOff>
      <xdr:row>9</xdr:row>
      <xdr:rowOff>177800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9E7F086-4488-47E1-844C-6EE79D63A00A}"/>
            </a:ext>
          </a:extLst>
        </xdr:cNvPr>
        <xdr:cNvSpPr/>
      </xdr:nvSpPr>
      <xdr:spPr>
        <a:xfrm>
          <a:off x="317500" y="1244600"/>
          <a:ext cx="11353800" cy="469900"/>
        </a:xfrm>
        <a:prstGeom prst="rect">
          <a:avLst/>
        </a:prstGeom>
        <a:solidFill>
          <a:schemeClr val="bg1">
            <a:lumMod val="85000"/>
          </a:schemeClr>
        </a:solidFill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444500</xdr:colOff>
      <xdr:row>4</xdr:row>
      <xdr:rowOff>127000</xdr:rowOff>
    </xdr:from>
    <xdr:to>
      <xdr:col>11</xdr:col>
      <xdr:colOff>19050</xdr:colOff>
      <xdr:row>7</xdr:row>
      <xdr:rowOff>101600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222281F-FFD3-469C-99F9-4EE24D1ACD35}"/>
            </a:ext>
          </a:extLst>
        </xdr:cNvPr>
        <xdr:cNvSpPr txBox="1"/>
      </xdr:nvSpPr>
      <xdr:spPr>
        <a:xfrm>
          <a:off x="3721100" y="742950"/>
          <a:ext cx="2654300" cy="527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/>
            <a:t>Prospecção Novos Clientes</a:t>
          </a:r>
        </a:p>
        <a:p>
          <a:pPr algn="l"/>
          <a:r>
            <a:rPr lang="pt-BR" sz="1100" b="0"/>
            <a:t>Desafio</a:t>
          </a:r>
          <a:r>
            <a:rPr lang="pt-BR" sz="1100" b="0" baseline="0"/>
            <a:t> </a:t>
          </a:r>
          <a:r>
            <a:rPr lang="pt-BR" sz="1100" b="1" baseline="0"/>
            <a:t>Mensal</a:t>
          </a:r>
          <a:endParaRPr lang="pt-BR" sz="1400" b="1"/>
        </a:p>
      </xdr:txBody>
    </xdr:sp>
    <xdr:clientData/>
  </xdr:twoCellAnchor>
  <xdr:twoCellAnchor>
    <xdr:from>
      <xdr:col>7</xdr:col>
      <xdr:colOff>274077</xdr:colOff>
      <xdr:row>9</xdr:row>
      <xdr:rowOff>187533</xdr:rowOff>
    </xdr:from>
    <xdr:to>
      <xdr:col>12</xdr:col>
      <xdr:colOff>1</xdr:colOff>
      <xdr:row>11</xdr:row>
      <xdr:rowOff>100654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5C12A3E-9EA7-4C90-891E-85DF163FB56F}"/>
            </a:ext>
          </a:extLst>
        </xdr:cNvPr>
        <xdr:cNvSpPr txBox="1"/>
      </xdr:nvSpPr>
      <xdr:spPr>
        <a:xfrm>
          <a:off x="4166627" y="1717883"/>
          <a:ext cx="2805674" cy="287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0">
              <a:solidFill>
                <a:sysClr val="windowText" lastClr="000000"/>
              </a:solidFill>
            </a:rPr>
            <a:t>Conexão | Agendamento de Reunião</a:t>
          </a:r>
        </a:p>
        <a:p>
          <a:pPr algn="ctr"/>
          <a:endParaRPr lang="pt-BR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19050</xdr:colOff>
      <xdr:row>11</xdr:row>
      <xdr:rowOff>57150</xdr:rowOff>
    </xdr:from>
    <xdr:to>
      <xdr:col>12</xdr:col>
      <xdr:colOff>476250</xdr:colOff>
      <xdr:row>14</xdr:row>
      <xdr:rowOff>6350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13624607-0316-4309-9C26-4DA692FFDB78}"/>
            </a:ext>
          </a:extLst>
        </xdr:cNvPr>
        <xdr:cNvGrpSpPr/>
      </xdr:nvGrpSpPr>
      <xdr:grpSpPr>
        <a:xfrm>
          <a:off x="3686175" y="2028825"/>
          <a:ext cx="3362325" cy="520700"/>
          <a:chOff x="1695450" y="1009650"/>
          <a:chExt cx="1905000" cy="508000"/>
        </a:xfrm>
        <a:solidFill>
          <a:schemeClr val="tx1">
            <a:lumMod val="85000"/>
            <a:lumOff val="15000"/>
          </a:schemeClr>
        </a:solidFill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84CFC7D-93EB-4C44-80FD-1C09DC08E300}"/>
              </a:ext>
            </a:extLst>
          </xdr:cNvPr>
          <xdr:cNvSpPr/>
        </xdr:nvSpPr>
        <xdr:spPr>
          <a:xfrm>
            <a:off x="1695450" y="1009650"/>
            <a:ext cx="1905000" cy="508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4">
                  <a:lumMod val="60000"/>
                  <a:lumOff val="40000"/>
                </a:schemeClr>
              </a:solidFill>
            </a:endParaRPr>
          </a:p>
        </xdr:txBody>
      </xdr:sp>
      <xdr:sp macro="" textlink="'1. Plano Comercial'!S29">
        <xdr:nvSpPr>
          <xdr:cNvPr id="8" name="CaixaDeTexto 7">
            <a:extLst>
              <a:ext uri="{FF2B5EF4-FFF2-40B4-BE49-F238E27FC236}">
                <a16:creationId xmlns:a16="http://schemas.microsoft.com/office/drawing/2014/main" id="{FB1751CB-B04B-4FED-9989-989777383372}"/>
              </a:ext>
            </a:extLst>
          </xdr:cNvPr>
          <xdr:cNvSpPr txBox="1"/>
        </xdr:nvSpPr>
        <xdr:spPr>
          <a:xfrm>
            <a:off x="2241550" y="1117600"/>
            <a:ext cx="812800" cy="2921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05B2C437-DBA2-4EDA-B116-E12E9032FA9F}" type="TxLink">
              <a:rPr lang="en-US" sz="1200" b="1" i="0" u="none" strike="noStrike">
                <a:solidFill>
                  <a:srgbClr val="FFFFFF"/>
                </a:solidFill>
                <a:latin typeface="Calibri"/>
                <a:cs typeface="Calibri"/>
              </a:rPr>
              <a:pPr algn="ctr"/>
              <a:t>58</a:t>
            </a:fld>
            <a:endParaRPr lang="pt-BR" sz="1000" b="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13</xdr:col>
      <xdr:colOff>63500</xdr:colOff>
      <xdr:row>4</xdr:row>
      <xdr:rowOff>139700</xdr:rowOff>
    </xdr:from>
    <xdr:to>
      <xdr:col>13</xdr:col>
      <xdr:colOff>73025</xdr:colOff>
      <xdr:row>28</xdr:row>
      <xdr:rowOff>114300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3F152BA2-11CB-4CA6-9C54-2AC0FFB2BC15}"/>
            </a:ext>
          </a:extLst>
        </xdr:cNvPr>
        <xdr:cNvCxnSpPr/>
      </xdr:nvCxnSpPr>
      <xdr:spPr>
        <a:xfrm flipH="1">
          <a:off x="7651750" y="755650"/>
          <a:ext cx="9525" cy="4394200"/>
        </a:xfrm>
        <a:prstGeom prst="line">
          <a:avLst/>
        </a:prstGeom>
        <a:ln>
          <a:solidFill>
            <a:schemeClr val="tx1"/>
          </a:solidFill>
          <a:prstDash val="dash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95250</xdr:colOff>
      <xdr:row>4</xdr:row>
      <xdr:rowOff>133350</xdr:rowOff>
    </xdr:from>
    <xdr:to>
      <xdr:col>17</xdr:col>
      <xdr:colOff>279400</xdr:colOff>
      <xdr:row>7</xdr:row>
      <xdr:rowOff>152400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C3A4A4BC-2406-4CEB-9427-E173ADA1AC6D}"/>
            </a:ext>
          </a:extLst>
        </xdr:cNvPr>
        <xdr:cNvSpPr txBox="1"/>
      </xdr:nvSpPr>
      <xdr:spPr>
        <a:xfrm>
          <a:off x="7683500" y="749300"/>
          <a:ext cx="264795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/>
            <a:t>Potencialização da Base (SOW)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Desafio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Mensal</a:t>
          </a:r>
          <a:endParaRPr lang="pt-BR" sz="1400" b="1">
            <a:effectLst/>
          </a:endParaRPr>
        </a:p>
      </xdr:txBody>
    </xdr:sp>
    <xdr:clientData/>
  </xdr:twoCellAnchor>
  <xdr:twoCellAnchor>
    <xdr:from>
      <xdr:col>7</xdr:col>
      <xdr:colOff>400051</xdr:colOff>
      <xdr:row>15</xdr:row>
      <xdr:rowOff>0</xdr:rowOff>
    </xdr:from>
    <xdr:to>
      <xdr:col>12</xdr:col>
      <xdr:colOff>38101</xdr:colOff>
      <xdr:row>17</xdr:row>
      <xdr:rowOff>133350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E18EF0F-93A2-479D-9744-F644163A51E3}"/>
            </a:ext>
          </a:extLst>
        </xdr:cNvPr>
        <xdr:cNvGrpSpPr/>
      </xdr:nvGrpSpPr>
      <xdr:grpSpPr>
        <a:xfrm>
          <a:off x="4067176" y="2733675"/>
          <a:ext cx="2543175" cy="514350"/>
          <a:chOff x="1898650" y="1676400"/>
          <a:chExt cx="1511300" cy="508000"/>
        </a:xfrm>
        <a:solidFill>
          <a:schemeClr val="tx1">
            <a:lumMod val="75000"/>
            <a:lumOff val="25000"/>
          </a:schemeClr>
        </a:solidFill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585BBFB0-C0F7-4A48-882B-979D52B613A5}"/>
              </a:ext>
            </a:extLst>
          </xdr:cNvPr>
          <xdr:cNvSpPr/>
        </xdr:nvSpPr>
        <xdr:spPr>
          <a:xfrm>
            <a:off x="1898650" y="1676400"/>
            <a:ext cx="1511300" cy="508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4">
                  <a:lumMod val="60000"/>
                  <a:lumOff val="40000"/>
                </a:schemeClr>
              </a:solidFill>
            </a:endParaRPr>
          </a:p>
        </xdr:txBody>
      </xdr:sp>
      <xdr:sp macro="" textlink="'1. Plano Comercial'!S32">
        <xdr:nvSpPr>
          <xdr:cNvPr id="13" name="CaixaDeTexto 12">
            <a:extLst>
              <a:ext uri="{FF2B5EF4-FFF2-40B4-BE49-F238E27FC236}">
                <a16:creationId xmlns:a16="http://schemas.microsoft.com/office/drawing/2014/main" id="{176C4804-57B2-4D35-BCD0-230631467899}"/>
              </a:ext>
            </a:extLst>
          </xdr:cNvPr>
          <xdr:cNvSpPr txBox="1"/>
        </xdr:nvSpPr>
        <xdr:spPr>
          <a:xfrm>
            <a:off x="2247900" y="1784350"/>
            <a:ext cx="812800" cy="2921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B803556-FB0B-48D9-BE24-0636E0477BB1}" type="TxLink">
              <a:rPr lang="en-US" sz="1200" b="1" i="0" u="none" strike="noStrike">
                <a:solidFill>
                  <a:srgbClr val="FFFFFF"/>
                </a:solidFill>
                <a:latin typeface="Calibri"/>
                <a:cs typeface="Calibri"/>
              </a:rPr>
              <a:pPr algn="ctr"/>
              <a:t>29</a:t>
            </a:fld>
            <a:endParaRPr lang="pt-BR" sz="1000" b="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561977</xdr:colOff>
      <xdr:row>18</xdr:row>
      <xdr:rowOff>133350</xdr:rowOff>
    </xdr:from>
    <xdr:to>
      <xdr:col>11</xdr:col>
      <xdr:colOff>501651</xdr:colOff>
      <xdr:row>21</xdr:row>
      <xdr:rowOff>85725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D071D7CD-2387-4BA8-BB0E-682F668E1E48}"/>
            </a:ext>
          </a:extLst>
        </xdr:cNvPr>
        <xdr:cNvGrpSpPr/>
      </xdr:nvGrpSpPr>
      <xdr:grpSpPr>
        <a:xfrm>
          <a:off x="4229102" y="3438525"/>
          <a:ext cx="2263774" cy="523875"/>
          <a:chOff x="2082800" y="2343150"/>
          <a:chExt cx="1022350" cy="508000"/>
        </a:xfrm>
        <a:solidFill>
          <a:schemeClr val="bg2">
            <a:lumMod val="50000"/>
          </a:schemeClr>
        </a:solidFill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04CDDEDD-6DE0-4B74-8701-33DBE75E7F55}"/>
              </a:ext>
            </a:extLst>
          </xdr:cNvPr>
          <xdr:cNvSpPr/>
        </xdr:nvSpPr>
        <xdr:spPr>
          <a:xfrm>
            <a:off x="2082800" y="2343150"/>
            <a:ext cx="1022350" cy="508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4">
                  <a:lumMod val="60000"/>
                  <a:lumOff val="40000"/>
                </a:schemeClr>
              </a:solidFill>
            </a:endParaRPr>
          </a:p>
        </xdr:txBody>
      </xdr:sp>
      <xdr:sp macro="" textlink="'1. Plano Comercial'!S34">
        <xdr:nvSpPr>
          <xdr:cNvPr id="16" name="CaixaDeTexto 15">
            <a:extLst>
              <a:ext uri="{FF2B5EF4-FFF2-40B4-BE49-F238E27FC236}">
                <a16:creationId xmlns:a16="http://schemas.microsoft.com/office/drawing/2014/main" id="{A0BCDF6A-297E-4186-AAEB-AF35096385F1}"/>
              </a:ext>
            </a:extLst>
          </xdr:cNvPr>
          <xdr:cNvSpPr txBox="1"/>
        </xdr:nvSpPr>
        <xdr:spPr>
          <a:xfrm>
            <a:off x="2187575" y="2451100"/>
            <a:ext cx="812800" cy="2921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505A1CB-A5CB-4F55-8FE8-6B70A7D8F418}" type="TxLink">
              <a:rPr lang="en-US" sz="1200" b="1" i="0" u="none" strike="noStrike">
                <a:solidFill>
                  <a:srgbClr val="F9F9F9"/>
                </a:solidFill>
                <a:latin typeface="Calibri"/>
                <a:cs typeface="Calibri"/>
              </a:rPr>
              <a:pPr algn="ctr"/>
              <a:t>20</a:t>
            </a:fld>
            <a:endParaRPr lang="pt-BR" sz="1000" b="0">
              <a:solidFill>
                <a:srgbClr val="F9F9F9"/>
              </a:solidFill>
            </a:endParaRPr>
          </a:p>
        </xdr:txBody>
      </xdr:sp>
    </xdr:grpSp>
    <xdr:clientData/>
  </xdr:twoCellAnchor>
  <xdr:twoCellAnchor>
    <xdr:from>
      <xdr:col>8</xdr:col>
      <xdr:colOff>94431</xdr:colOff>
      <xdr:row>13</xdr:row>
      <xdr:rowOff>162042</xdr:rowOff>
    </xdr:from>
    <xdr:to>
      <xdr:col>11</xdr:col>
      <xdr:colOff>331304</xdr:colOff>
      <xdr:row>15</xdr:row>
      <xdr:rowOff>85842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96074CAB-EE58-4580-9610-DA123638E038}"/>
            </a:ext>
          </a:extLst>
        </xdr:cNvPr>
        <xdr:cNvSpPr txBox="1"/>
      </xdr:nvSpPr>
      <xdr:spPr>
        <a:xfrm>
          <a:off x="4602931" y="2435342"/>
          <a:ext cx="2084723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0">
              <a:solidFill>
                <a:sysClr val="windowText" lastClr="000000"/>
              </a:solidFill>
            </a:rPr>
            <a:t>Conhecendo o meu cliente cliente</a:t>
          </a:r>
        </a:p>
      </xdr:txBody>
    </xdr:sp>
    <xdr:clientData/>
  </xdr:twoCellAnchor>
  <xdr:twoCellAnchor>
    <xdr:from>
      <xdr:col>8</xdr:col>
      <xdr:colOff>234950</xdr:colOff>
      <xdr:row>17</xdr:row>
      <xdr:rowOff>114300</xdr:rowOff>
    </xdr:from>
    <xdr:to>
      <xdr:col>11</xdr:col>
      <xdr:colOff>225425</xdr:colOff>
      <xdr:row>19</xdr:row>
      <xdr:rowOff>38100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85A66582-93DB-4C6F-838F-3C63B047E911}"/>
            </a:ext>
          </a:extLst>
        </xdr:cNvPr>
        <xdr:cNvSpPr txBox="1"/>
      </xdr:nvSpPr>
      <xdr:spPr>
        <a:xfrm>
          <a:off x="4743450" y="3124200"/>
          <a:ext cx="1838325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0">
              <a:solidFill>
                <a:sysClr val="windowText" lastClr="000000"/>
              </a:solidFill>
            </a:rPr>
            <a:t>Apresentação de Proposta</a:t>
          </a:r>
        </a:p>
      </xdr:txBody>
    </xdr:sp>
    <xdr:clientData/>
  </xdr:twoCellAnchor>
  <xdr:twoCellAnchor>
    <xdr:from>
      <xdr:col>6</xdr:col>
      <xdr:colOff>457200</xdr:colOff>
      <xdr:row>8</xdr:row>
      <xdr:rowOff>19050</xdr:rowOff>
    </xdr:from>
    <xdr:to>
      <xdr:col>8</xdr:col>
      <xdr:colOff>276225</xdr:colOff>
      <xdr:row>9</xdr:row>
      <xdr:rowOff>76200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918CAB2-F80F-402B-8209-417D1034AC30}"/>
            </a:ext>
          </a:extLst>
        </xdr:cNvPr>
        <xdr:cNvSpPr txBox="1"/>
      </xdr:nvSpPr>
      <xdr:spPr>
        <a:xfrm>
          <a:off x="3733800" y="1371600"/>
          <a:ext cx="1050925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>
              <a:solidFill>
                <a:sysClr val="windowText" lastClr="000000"/>
              </a:solidFill>
            </a:rPr>
            <a:t>Captação: </a:t>
          </a:r>
        </a:p>
      </xdr:txBody>
    </xdr:sp>
    <xdr:clientData/>
  </xdr:twoCellAnchor>
  <xdr:twoCellAnchor>
    <xdr:from>
      <xdr:col>9</xdr:col>
      <xdr:colOff>479425</xdr:colOff>
      <xdr:row>8</xdr:row>
      <xdr:rowOff>9525</xdr:rowOff>
    </xdr:from>
    <xdr:to>
      <xdr:col>11</xdr:col>
      <xdr:colOff>463550</xdr:colOff>
      <xdr:row>9</xdr:row>
      <xdr:rowOff>66675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D0806439-EB30-4417-9C2B-BC226EED21A2}"/>
            </a:ext>
          </a:extLst>
        </xdr:cNvPr>
        <xdr:cNvSpPr txBox="1"/>
      </xdr:nvSpPr>
      <xdr:spPr>
        <a:xfrm>
          <a:off x="5603875" y="1362075"/>
          <a:ext cx="1216025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>
              <a:solidFill>
                <a:sysClr val="windowText" lastClr="000000"/>
              </a:solidFill>
            </a:rPr>
            <a:t>Ticket Médio:</a:t>
          </a:r>
        </a:p>
      </xdr:txBody>
    </xdr:sp>
    <xdr:clientData/>
  </xdr:twoCellAnchor>
  <xdr:twoCellAnchor>
    <xdr:from>
      <xdr:col>11</xdr:col>
      <xdr:colOff>133350</xdr:colOff>
      <xdr:row>8</xdr:row>
      <xdr:rowOff>22225</xdr:rowOff>
    </xdr:from>
    <xdr:to>
      <xdr:col>12</xdr:col>
      <xdr:colOff>584200</xdr:colOff>
      <xdr:row>9</xdr:row>
      <xdr:rowOff>85725</xdr:rowOff>
    </xdr:to>
    <xdr:sp macro="" textlink="'1. Plano Comercial'!S27">
      <xdr:nvSpPr>
        <xdr:cNvPr id="21" name="CaixaDeTexto 20">
          <a:extLst>
            <a:ext uri="{FF2B5EF4-FFF2-40B4-BE49-F238E27FC236}">
              <a16:creationId xmlns:a16="http://schemas.microsoft.com/office/drawing/2014/main" id="{2BEBDA83-9A1A-4803-BF38-7BAA363C1654}"/>
            </a:ext>
          </a:extLst>
        </xdr:cNvPr>
        <xdr:cNvSpPr txBox="1"/>
      </xdr:nvSpPr>
      <xdr:spPr>
        <a:xfrm>
          <a:off x="6489700" y="1374775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58520207-31D0-4357-B0EE-FA3448918D36}" type="TxLink">
            <a:rPr lang="en-US" sz="1050" b="1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R$ 300.000</a:t>
          </a:fld>
          <a:endParaRPr lang="pt-BR" sz="9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15875</xdr:colOff>
      <xdr:row>8</xdr:row>
      <xdr:rowOff>19050</xdr:rowOff>
    </xdr:from>
    <xdr:to>
      <xdr:col>14</xdr:col>
      <xdr:colOff>581025</xdr:colOff>
      <xdr:row>9</xdr:row>
      <xdr:rowOff>76200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FF54D042-1C1D-4944-95F6-F1EC6FB4E3B3}"/>
            </a:ext>
          </a:extLst>
        </xdr:cNvPr>
        <xdr:cNvSpPr txBox="1"/>
      </xdr:nvSpPr>
      <xdr:spPr>
        <a:xfrm>
          <a:off x="7292975" y="1419225"/>
          <a:ext cx="1155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>
              <a:solidFill>
                <a:sysClr val="windowText" lastClr="000000"/>
              </a:solidFill>
            </a:rPr>
            <a:t>Captação:</a:t>
          </a:r>
        </a:p>
      </xdr:txBody>
    </xdr:sp>
    <xdr:clientData/>
  </xdr:twoCellAnchor>
  <xdr:twoCellAnchor>
    <xdr:from>
      <xdr:col>15</xdr:col>
      <xdr:colOff>549275</xdr:colOff>
      <xdr:row>8</xdr:row>
      <xdr:rowOff>19050</xdr:rowOff>
    </xdr:from>
    <xdr:to>
      <xdr:col>18</xdr:col>
      <xdr:colOff>276225</xdr:colOff>
      <xdr:row>9</xdr:row>
      <xdr:rowOff>76200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BD50F06C-AEA7-4420-ADA0-3312A8DA366D}"/>
            </a:ext>
          </a:extLst>
        </xdr:cNvPr>
        <xdr:cNvSpPr txBox="1"/>
      </xdr:nvSpPr>
      <xdr:spPr>
        <a:xfrm>
          <a:off x="9007475" y="1419225"/>
          <a:ext cx="1498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>
              <a:solidFill>
                <a:sysClr val="windowText" lastClr="000000"/>
              </a:solidFill>
            </a:rPr>
            <a:t>Pipe</a:t>
          </a:r>
          <a:r>
            <a:rPr lang="pt-BR" sz="1000" b="1" baseline="0">
              <a:solidFill>
                <a:sysClr val="windowText" lastClr="000000"/>
              </a:solidFill>
            </a:rPr>
            <a:t> Necessário:</a:t>
          </a:r>
          <a:endParaRPr lang="pt-BR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523875</xdr:colOff>
      <xdr:row>18</xdr:row>
      <xdr:rowOff>174625</xdr:rowOff>
    </xdr:from>
    <xdr:to>
      <xdr:col>17</xdr:col>
      <xdr:colOff>581025</xdr:colOff>
      <xdr:row>20</xdr:row>
      <xdr:rowOff>92075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B83E9B27-DE55-4F1A-8682-DCDC58B737D7}"/>
            </a:ext>
          </a:extLst>
        </xdr:cNvPr>
        <xdr:cNvSpPr txBox="1"/>
      </xdr:nvSpPr>
      <xdr:spPr>
        <a:xfrm>
          <a:off x="8391525" y="3479800"/>
          <a:ext cx="182880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0">
              <a:solidFill>
                <a:sysClr val="windowText" lastClr="000000"/>
              </a:solidFill>
            </a:rPr>
            <a:t>Cliente Mapeados com Oport.</a:t>
          </a:r>
        </a:p>
      </xdr:txBody>
    </xdr:sp>
    <xdr:clientData/>
  </xdr:twoCellAnchor>
  <xdr:twoCellAnchor>
    <xdr:from>
      <xdr:col>14</xdr:col>
      <xdr:colOff>514350</xdr:colOff>
      <xdr:row>20</xdr:row>
      <xdr:rowOff>28575</xdr:rowOff>
    </xdr:from>
    <xdr:to>
      <xdr:col>17</xdr:col>
      <xdr:colOff>571500</xdr:colOff>
      <xdr:row>22</xdr:row>
      <xdr:rowOff>168275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F774F8F7-5623-4737-8B96-F5ADE4EB075E}"/>
            </a:ext>
          </a:extLst>
        </xdr:cNvPr>
        <xdr:cNvGrpSpPr/>
      </xdr:nvGrpSpPr>
      <xdr:grpSpPr>
        <a:xfrm>
          <a:off x="8248650" y="3714750"/>
          <a:ext cx="1800225" cy="520700"/>
          <a:chOff x="1695450" y="1009650"/>
          <a:chExt cx="1905000" cy="508000"/>
        </a:xfrm>
        <a:solidFill>
          <a:schemeClr val="accent2">
            <a:lumMod val="60000"/>
            <a:lumOff val="40000"/>
          </a:schemeClr>
        </a:solidFill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1A8EC0F9-95B0-4F80-B647-C753AB98657C}"/>
              </a:ext>
            </a:extLst>
          </xdr:cNvPr>
          <xdr:cNvSpPr/>
        </xdr:nvSpPr>
        <xdr:spPr>
          <a:xfrm>
            <a:off x="1695450" y="1009650"/>
            <a:ext cx="1905000" cy="508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4">
                  <a:lumMod val="60000"/>
                  <a:lumOff val="40000"/>
                </a:schemeClr>
              </a:solidFill>
            </a:endParaRPr>
          </a:p>
        </xdr:txBody>
      </xdr:sp>
      <xdr:sp macro="" textlink="'1. Plano Comercial'!#REF!">
        <xdr:nvSpPr>
          <xdr:cNvPr id="27" name="CaixaDeTexto 26">
            <a:extLst>
              <a:ext uri="{FF2B5EF4-FFF2-40B4-BE49-F238E27FC236}">
                <a16:creationId xmlns:a16="http://schemas.microsoft.com/office/drawing/2014/main" id="{2BC4E4F7-F060-4AEF-A91C-02E4F8255553}"/>
              </a:ext>
            </a:extLst>
          </xdr:cNvPr>
          <xdr:cNvSpPr txBox="1"/>
        </xdr:nvSpPr>
        <xdr:spPr>
          <a:xfrm>
            <a:off x="2241550" y="1117600"/>
            <a:ext cx="812800" cy="2921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8A185126-DB32-410A-B1BF-C1731D6A7FDA}" type="TxLink">
              <a:rPr lang="en-US" sz="12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30</a:t>
            </a:fld>
            <a:endParaRPr lang="pt-BR" sz="1000" b="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15</xdr:col>
      <xdr:colOff>139700</xdr:colOff>
      <xdr:row>24</xdr:row>
      <xdr:rowOff>44450</xdr:rowOff>
    </xdr:from>
    <xdr:to>
      <xdr:col>17</xdr:col>
      <xdr:colOff>425450</xdr:colOff>
      <xdr:row>27</xdr:row>
      <xdr:rowOff>6350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BC15642E-F28A-46FB-8316-887DED7C76B2}"/>
            </a:ext>
          </a:extLst>
        </xdr:cNvPr>
        <xdr:cNvGrpSpPr/>
      </xdr:nvGrpSpPr>
      <xdr:grpSpPr>
        <a:xfrm>
          <a:off x="8455025" y="4492625"/>
          <a:ext cx="1447800" cy="533400"/>
          <a:chOff x="1898650" y="1676400"/>
          <a:chExt cx="1511300" cy="508000"/>
        </a:xfrm>
        <a:solidFill>
          <a:schemeClr val="accent2">
            <a:lumMod val="40000"/>
            <a:lumOff val="60000"/>
          </a:schemeClr>
        </a:solidFill>
      </xdr:grpSpPr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A7A0C55F-AB60-4614-8EE5-73B1EA3899D5}"/>
              </a:ext>
            </a:extLst>
          </xdr:cNvPr>
          <xdr:cNvSpPr/>
        </xdr:nvSpPr>
        <xdr:spPr>
          <a:xfrm>
            <a:off x="1898650" y="1676400"/>
            <a:ext cx="1511300" cy="508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4">
                  <a:lumMod val="60000"/>
                  <a:lumOff val="40000"/>
                </a:schemeClr>
              </a:solidFill>
            </a:endParaRPr>
          </a:p>
        </xdr:txBody>
      </xdr:sp>
      <xdr:sp macro="" textlink="'1. Plano Comercial'!#REF!">
        <xdr:nvSpPr>
          <xdr:cNvPr id="30" name="CaixaDeTexto 29">
            <a:extLst>
              <a:ext uri="{FF2B5EF4-FFF2-40B4-BE49-F238E27FC236}">
                <a16:creationId xmlns:a16="http://schemas.microsoft.com/office/drawing/2014/main" id="{E9C85396-6486-4249-ADAB-F7513DD91D2C}"/>
              </a:ext>
            </a:extLst>
          </xdr:cNvPr>
          <xdr:cNvSpPr txBox="1"/>
        </xdr:nvSpPr>
        <xdr:spPr>
          <a:xfrm>
            <a:off x="2247900" y="1784350"/>
            <a:ext cx="812800" cy="2921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C4B70C19-0CD7-49D7-8308-C415067F5CEF}" type="TxLink">
              <a:rPr lang="en-US" sz="1200" b="1" i="0" u="none" strike="noStrike">
                <a:solidFill>
                  <a:srgbClr val="FFFFFF"/>
                </a:solidFill>
                <a:latin typeface="Calibri"/>
                <a:cs typeface="Calibri"/>
              </a:rPr>
              <a:pPr algn="ctr"/>
              <a:t>2,0</a:t>
            </a:fld>
            <a:endParaRPr lang="pt-BR" sz="1000" b="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15</xdr:col>
      <xdr:colOff>295275</xdr:colOff>
      <xdr:row>23</xdr:row>
      <xdr:rowOff>31750</xdr:rowOff>
    </xdr:from>
    <xdr:to>
      <xdr:col>17</xdr:col>
      <xdr:colOff>323850</xdr:colOff>
      <xdr:row>24</xdr:row>
      <xdr:rowOff>139700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AE716221-3B1F-4B37-9002-2FF1A6CBA308}"/>
            </a:ext>
          </a:extLst>
        </xdr:cNvPr>
        <xdr:cNvSpPr txBox="1"/>
      </xdr:nvSpPr>
      <xdr:spPr>
        <a:xfrm>
          <a:off x="8753475" y="4289425"/>
          <a:ext cx="1209675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0">
              <a:solidFill>
                <a:sysClr val="windowText" lastClr="000000"/>
              </a:solidFill>
            </a:rPr>
            <a:t>Reuniões/dia*</a:t>
          </a:r>
        </a:p>
      </xdr:txBody>
    </xdr:sp>
    <xdr:clientData/>
  </xdr:twoCellAnchor>
  <xdr:twoCellAnchor>
    <xdr:from>
      <xdr:col>6</xdr:col>
      <xdr:colOff>467234</xdr:colOff>
      <xdr:row>14</xdr:row>
      <xdr:rowOff>58075</xdr:rowOff>
    </xdr:from>
    <xdr:to>
      <xdr:col>7</xdr:col>
      <xdr:colOff>152685</xdr:colOff>
      <xdr:row>17</xdr:row>
      <xdr:rowOff>133718</xdr:rowOff>
    </xdr:to>
    <xdr:sp macro="" textlink="">
      <xdr:nvSpPr>
        <xdr:cNvPr id="32" name="Seta: Curva para Baixo 31">
          <a:extLst>
            <a:ext uri="{FF2B5EF4-FFF2-40B4-BE49-F238E27FC236}">
              <a16:creationId xmlns:a16="http://schemas.microsoft.com/office/drawing/2014/main" id="{33D679B9-10B5-45C8-A03B-954A9E4EAB41}"/>
            </a:ext>
          </a:extLst>
        </xdr:cNvPr>
        <xdr:cNvSpPr/>
      </xdr:nvSpPr>
      <xdr:spPr>
        <a:xfrm rot="3755913" flipV="1">
          <a:off x="3580488" y="2678871"/>
          <a:ext cx="628093" cy="301401"/>
        </a:xfrm>
        <a:prstGeom prst="curvedDownArrow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127000</xdr:colOff>
      <xdr:row>4</xdr:row>
      <xdr:rowOff>127000</xdr:rowOff>
    </xdr:from>
    <xdr:to>
      <xdr:col>5</xdr:col>
      <xdr:colOff>311150</xdr:colOff>
      <xdr:row>7</xdr:row>
      <xdr:rowOff>101600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4C43D135-5F9B-450B-92E3-51D1EA94825F}"/>
            </a:ext>
          </a:extLst>
        </xdr:cNvPr>
        <xdr:cNvSpPr txBox="1"/>
      </xdr:nvSpPr>
      <xdr:spPr>
        <a:xfrm>
          <a:off x="323850" y="742950"/>
          <a:ext cx="2647950" cy="527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/>
            <a:t>Resumo Esforços</a:t>
          </a:r>
        </a:p>
        <a:p>
          <a:pPr algn="l"/>
          <a:r>
            <a:rPr lang="pt-BR" sz="1100" b="0"/>
            <a:t>Desafio</a:t>
          </a:r>
          <a:endParaRPr lang="pt-BR" sz="1400" b="0"/>
        </a:p>
      </xdr:txBody>
    </xdr:sp>
    <xdr:clientData/>
  </xdr:twoCellAnchor>
  <xdr:twoCellAnchor>
    <xdr:from>
      <xdr:col>6</xdr:col>
      <xdr:colOff>200026</xdr:colOff>
      <xdr:row>4</xdr:row>
      <xdr:rowOff>152400</xdr:rowOff>
    </xdr:from>
    <xdr:to>
      <xdr:col>6</xdr:col>
      <xdr:colOff>200026</xdr:colOff>
      <xdr:row>28</xdr:row>
      <xdr:rowOff>73025</xdr:rowOff>
    </xdr:to>
    <xdr:cxnSp macro="">
      <xdr:nvCxnSpPr>
        <xdr:cNvPr id="34" name="Conector reto 33">
          <a:extLst>
            <a:ext uri="{FF2B5EF4-FFF2-40B4-BE49-F238E27FC236}">
              <a16:creationId xmlns:a16="http://schemas.microsoft.com/office/drawing/2014/main" id="{4F734902-521A-4E05-AFA3-C7AA4CA5A7FC}"/>
            </a:ext>
          </a:extLst>
        </xdr:cNvPr>
        <xdr:cNvCxnSpPr/>
      </xdr:nvCxnSpPr>
      <xdr:spPr>
        <a:xfrm>
          <a:off x="3476626" y="768350"/>
          <a:ext cx="0" cy="4340225"/>
        </a:xfrm>
        <a:prstGeom prst="line">
          <a:avLst/>
        </a:prstGeom>
        <a:ln>
          <a:solidFill>
            <a:schemeClr val="tx1"/>
          </a:solidFill>
          <a:prstDash val="dash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152399</xdr:colOff>
      <xdr:row>8</xdr:row>
      <xdr:rowOff>19050</xdr:rowOff>
    </xdr:from>
    <xdr:to>
      <xdr:col>4</xdr:col>
      <xdr:colOff>485774</xdr:colOff>
      <xdr:row>9</xdr:row>
      <xdr:rowOff>76200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E2860965-FDBC-4CEF-B662-68E856D8B0E3}"/>
            </a:ext>
          </a:extLst>
        </xdr:cNvPr>
        <xdr:cNvSpPr txBox="1"/>
      </xdr:nvSpPr>
      <xdr:spPr>
        <a:xfrm>
          <a:off x="349249" y="1371600"/>
          <a:ext cx="2181225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>
              <a:solidFill>
                <a:sysClr val="windowText" lastClr="000000"/>
              </a:solidFill>
            </a:rPr>
            <a:t>Net</a:t>
          </a:r>
          <a:r>
            <a:rPr lang="pt-BR" sz="1000" b="1" baseline="0">
              <a:solidFill>
                <a:sysClr val="windowText" lastClr="000000"/>
              </a:solidFill>
            </a:rPr>
            <a:t> Projetado</a:t>
          </a:r>
          <a:r>
            <a:rPr lang="pt-BR" sz="1000" b="1">
              <a:solidFill>
                <a:sysClr val="windowText" lastClr="000000"/>
              </a:solidFill>
            </a:rPr>
            <a:t>:</a:t>
          </a:r>
        </a:p>
      </xdr:txBody>
    </xdr:sp>
    <xdr:clientData/>
  </xdr:twoCellAnchor>
  <xdr:twoCellAnchor>
    <xdr:from>
      <xdr:col>2</xdr:col>
      <xdr:colOff>361950</xdr:colOff>
      <xdr:row>8</xdr:row>
      <xdr:rowOff>19050</xdr:rowOff>
    </xdr:from>
    <xdr:to>
      <xdr:col>4</xdr:col>
      <xdr:colOff>336550</xdr:colOff>
      <xdr:row>9</xdr:row>
      <xdr:rowOff>76200</xdr:rowOff>
    </xdr:to>
    <xdr:sp macro="" textlink="'1. Plano Comercial'!D30">
      <xdr:nvSpPr>
        <xdr:cNvPr id="36" name="CaixaDeTexto 40">
          <a:extLst>
            <a:ext uri="{FF2B5EF4-FFF2-40B4-BE49-F238E27FC236}">
              <a16:creationId xmlns:a16="http://schemas.microsoft.com/office/drawing/2014/main" id="{2FE64B7B-92ED-4B29-8D91-E99184A06978}"/>
            </a:ext>
          </a:extLst>
        </xdr:cNvPr>
        <xdr:cNvSpPr txBox="1"/>
      </xdr:nvSpPr>
      <xdr:spPr>
        <a:xfrm>
          <a:off x="1174750" y="1371600"/>
          <a:ext cx="120650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EBA2041-E731-4E26-9CF2-3758B3ACFF02}" type="TxLink">
            <a:rPr lang="en-US" sz="105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R$ 33.480.000</a:t>
          </a:fld>
          <a:endParaRPr lang="en-US" sz="1000" i="0" u="none" strike="noStrike">
            <a:solidFill>
              <a:schemeClr val="tx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387350</xdr:colOff>
      <xdr:row>8</xdr:row>
      <xdr:rowOff>19050</xdr:rowOff>
    </xdr:from>
    <xdr:to>
      <xdr:col>5</xdr:col>
      <xdr:colOff>368300</xdr:colOff>
      <xdr:row>9</xdr:row>
      <xdr:rowOff>82550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41126AAA-5D26-4989-BB5B-EB394AAE27F2}"/>
            </a:ext>
          </a:extLst>
        </xdr:cNvPr>
        <xdr:cNvSpPr txBox="1"/>
      </xdr:nvSpPr>
      <xdr:spPr>
        <a:xfrm>
          <a:off x="2432050" y="1371600"/>
          <a:ext cx="5969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>
              <a:solidFill>
                <a:sysClr val="windowText" lastClr="000000"/>
              </a:solidFill>
            </a:rPr>
            <a:t>Meses:</a:t>
          </a:r>
        </a:p>
      </xdr:txBody>
    </xdr:sp>
    <xdr:clientData/>
  </xdr:twoCellAnchor>
  <xdr:twoCellAnchor>
    <xdr:from>
      <xdr:col>5</xdr:col>
      <xdr:colOff>234950</xdr:colOff>
      <xdr:row>8</xdr:row>
      <xdr:rowOff>12700</xdr:rowOff>
    </xdr:from>
    <xdr:to>
      <xdr:col>6</xdr:col>
      <xdr:colOff>152400</xdr:colOff>
      <xdr:row>9</xdr:row>
      <xdr:rowOff>95250</xdr:rowOff>
    </xdr:to>
    <xdr:sp macro="" textlink="[1]Detalhamento!C17">
      <xdr:nvSpPr>
        <xdr:cNvPr id="38" name="CaixaDeTexto 37">
          <a:extLst>
            <a:ext uri="{FF2B5EF4-FFF2-40B4-BE49-F238E27FC236}">
              <a16:creationId xmlns:a16="http://schemas.microsoft.com/office/drawing/2014/main" id="{19AB2DB1-D776-48A5-9570-BC915FB48409}"/>
            </a:ext>
          </a:extLst>
        </xdr:cNvPr>
        <xdr:cNvSpPr txBox="1"/>
      </xdr:nvSpPr>
      <xdr:spPr>
        <a:xfrm>
          <a:off x="2895600" y="1365250"/>
          <a:ext cx="5334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EAF35EFF-6737-4CD4-9412-B3DC6F843A67}" type="TxLink">
            <a:rPr lang="en-US" sz="1050" b="0" i="0" u="none" strike="noStrike">
              <a:solidFill>
                <a:sysClr val="windowText" lastClr="000000"/>
              </a:solidFill>
              <a:latin typeface="Calibri"/>
              <a:ea typeface="+mn-ea"/>
              <a:cs typeface="Calibri"/>
            </a:rPr>
            <a:pPr marL="0" indent="0" algn="l"/>
            <a:t>#REF!</a:t>
          </a:fld>
          <a:endParaRPr lang="pt-BR" sz="1050" b="0" i="0" u="none" strike="noStrike">
            <a:solidFill>
              <a:sysClr val="windowText" lastClr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</xdr:col>
      <xdr:colOff>254000</xdr:colOff>
      <xdr:row>18</xdr:row>
      <xdr:rowOff>64318</xdr:rowOff>
    </xdr:from>
    <xdr:to>
      <xdr:col>6</xdr:col>
      <xdr:colOff>57150</xdr:colOff>
      <xdr:row>22</xdr:row>
      <xdr:rowOff>44448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7C9FF8C5-64CF-40A2-84CB-C9C8D64148EE}"/>
            </a:ext>
          </a:extLst>
        </xdr:cNvPr>
        <xdr:cNvGrpSpPr/>
      </xdr:nvGrpSpPr>
      <xdr:grpSpPr>
        <a:xfrm>
          <a:off x="434975" y="3369493"/>
          <a:ext cx="2708275" cy="742130"/>
          <a:chOff x="228600" y="1460500"/>
          <a:chExt cx="2851150" cy="708942"/>
        </a:xfrm>
      </xdr:grpSpPr>
      <xdr:sp macro="" textlink="">
        <xdr:nvSpPr>
          <xdr:cNvPr id="40" name="CaixaDeTexto 39">
            <a:extLst>
              <a:ext uri="{FF2B5EF4-FFF2-40B4-BE49-F238E27FC236}">
                <a16:creationId xmlns:a16="http://schemas.microsoft.com/office/drawing/2014/main" id="{A99B60A4-87C5-4347-AD7E-4278811C04FB}"/>
              </a:ext>
            </a:extLst>
          </xdr:cNvPr>
          <xdr:cNvSpPr txBox="1"/>
        </xdr:nvSpPr>
        <xdr:spPr>
          <a:xfrm>
            <a:off x="228600" y="1532201"/>
            <a:ext cx="781050" cy="6372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050" b="1">
                <a:solidFill>
                  <a:sysClr val="windowText" lastClr="000000"/>
                </a:solidFill>
              </a:rPr>
              <a:t>Propostas Comeciais</a:t>
            </a:r>
          </a:p>
          <a:p>
            <a:pPr algn="ctr"/>
            <a:r>
              <a:rPr lang="pt-BR" sz="900" b="0">
                <a:solidFill>
                  <a:sysClr val="windowText" lastClr="000000"/>
                </a:solidFill>
              </a:rPr>
              <a:t>(Mês)</a:t>
            </a:r>
            <a:endParaRPr lang="pt-BR" sz="1050" b="0">
              <a:solidFill>
                <a:sysClr val="windowText" lastClr="000000"/>
              </a:solidFill>
            </a:endParaRPr>
          </a:p>
        </xdr:txBody>
      </xdr:sp>
      <xdr:grpSp>
        <xdr:nvGrpSpPr>
          <xdr:cNvPr id="41" name="Agrupar 40">
            <a:extLst>
              <a:ext uri="{FF2B5EF4-FFF2-40B4-BE49-F238E27FC236}">
                <a16:creationId xmlns:a16="http://schemas.microsoft.com/office/drawing/2014/main" id="{E43702FD-9546-4AC1-A181-057153472C94}"/>
              </a:ext>
            </a:extLst>
          </xdr:cNvPr>
          <xdr:cNvGrpSpPr/>
        </xdr:nvGrpSpPr>
        <xdr:grpSpPr>
          <a:xfrm>
            <a:off x="260350" y="1460500"/>
            <a:ext cx="2819400" cy="673080"/>
            <a:chOff x="196850" y="1460500"/>
            <a:chExt cx="2819400" cy="673080"/>
          </a:xfrm>
        </xdr:grpSpPr>
        <xdr:grpSp>
          <xdr:nvGrpSpPr>
            <xdr:cNvPr id="42" name="Agrupar 41">
              <a:extLst>
                <a:ext uri="{FF2B5EF4-FFF2-40B4-BE49-F238E27FC236}">
                  <a16:creationId xmlns:a16="http://schemas.microsoft.com/office/drawing/2014/main" id="{A0855E17-3C2B-4AEA-B255-7CB590CC0985}"/>
                </a:ext>
              </a:extLst>
            </xdr:cNvPr>
            <xdr:cNvGrpSpPr/>
          </xdr:nvGrpSpPr>
          <xdr:grpSpPr>
            <a:xfrm>
              <a:off x="196850" y="1460500"/>
              <a:ext cx="2819400" cy="673080"/>
              <a:chOff x="539750" y="1009650"/>
              <a:chExt cx="2819400" cy="780383"/>
            </a:xfrm>
          </xdr:grpSpPr>
          <xdr:sp macro="" textlink="">
            <xdr:nvSpPr>
              <xdr:cNvPr id="45" name="Retângulo: Cantos Arredondados 44">
                <a:extLst>
                  <a:ext uri="{FF2B5EF4-FFF2-40B4-BE49-F238E27FC236}">
                    <a16:creationId xmlns:a16="http://schemas.microsoft.com/office/drawing/2014/main" id="{87857A81-AD75-4B93-8F7E-A8445DE30F85}"/>
                  </a:ext>
                </a:extLst>
              </xdr:cNvPr>
              <xdr:cNvSpPr/>
            </xdr:nvSpPr>
            <xdr:spPr>
              <a:xfrm>
                <a:off x="539750" y="1009650"/>
                <a:ext cx="2806700" cy="780383"/>
              </a:xfrm>
              <a:prstGeom prst="roundRect">
                <a:avLst/>
              </a:prstGeom>
              <a:noFill/>
              <a:ln>
                <a:solidFill>
                  <a:schemeClr val="accent6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>
                  <a:solidFill>
                    <a:schemeClr val="accent4">
                      <a:lumMod val="60000"/>
                      <a:lumOff val="40000"/>
                    </a:schemeClr>
                  </a:solidFill>
                </a:endParaRPr>
              </a:p>
            </xdr:txBody>
          </xdr:sp>
          <xdr:sp macro="" textlink="'1. Plano Comercial'!S34">
            <xdr:nvSpPr>
              <xdr:cNvPr id="46" name="CaixaDeTexto 45">
                <a:extLst>
                  <a:ext uri="{FF2B5EF4-FFF2-40B4-BE49-F238E27FC236}">
                    <a16:creationId xmlns:a16="http://schemas.microsoft.com/office/drawing/2014/main" id="{32D0FB3B-7A58-47B6-B507-84DD94B4D49C}"/>
                  </a:ext>
                </a:extLst>
              </xdr:cNvPr>
              <xdr:cNvSpPr txBox="1"/>
            </xdr:nvSpPr>
            <xdr:spPr>
              <a:xfrm>
                <a:off x="1358900" y="1297857"/>
                <a:ext cx="812800" cy="2921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3D26AAF5-C113-4FAD-B98A-17FB0F62B405}" type="TxLink">
                  <a:rPr lang="en-US" sz="1200" b="1" i="0" u="none" strike="noStrike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Calibri"/>
                    <a:cs typeface="Calibri"/>
                  </a:rPr>
                  <a:pPr algn="ctr"/>
                  <a:t>20</a:t>
                </a:fld>
                <a:endParaRPr lang="pt-BR" sz="1000" b="1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endParaRPr>
              </a:p>
            </xdr:txBody>
          </xdr:sp>
          <xdr:sp macro="" textlink="">
            <xdr:nvSpPr>
              <xdr:cNvPr id="48" name="CaixaDeTexto 47">
                <a:extLst>
                  <a:ext uri="{FF2B5EF4-FFF2-40B4-BE49-F238E27FC236}">
                    <a16:creationId xmlns:a16="http://schemas.microsoft.com/office/drawing/2014/main" id="{A0D0EE02-2517-4ACA-9615-A8403E833651}"/>
                  </a:ext>
                </a:extLst>
              </xdr:cNvPr>
              <xdr:cNvSpPr txBox="1"/>
            </xdr:nvSpPr>
            <xdr:spPr>
              <a:xfrm>
                <a:off x="1358900" y="1031603"/>
                <a:ext cx="812800" cy="2921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r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+mn-ea"/>
                    <a:cs typeface="Calibri"/>
                  </a:rPr>
                  <a:t>Prospecção</a:t>
                </a:r>
              </a:p>
            </xdr:txBody>
          </xdr:sp>
          <xdr:sp macro="" textlink="">
            <xdr:nvSpPr>
              <xdr:cNvPr id="49" name="CaixaDeTexto 48">
                <a:extLst>
                  <a:ext uri="{FF2B5EF4-FFF2-40B4-BE49-F238E27FC236}">
                    <a16:creationId xmlns:a16="http://schemas.microsoft.com/office/drawing/2014/main" id="{2F89FB96-A45B-4427-BEA4-DF8190CF69DD}"/>
                  </a:ext>
                </a:extLst>
              </xdr:cNvPr>
              <xdr:cNvSpPr txBox="1"/>
            </xdr:nvSpPr>
            <xdr:spPr>
              <a:xfrm>
                <a:off x="2241550" y="1042152"/>
                <a:ext cx="1117600" cy="32946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r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+mn-ea"/>
                    <a:cs typeface="Calibri"/>
                  </a:rPr>
                  <a:t>Base</a:t>
                </a:r>
              </a:p>
            </xdr:txBody>
          </xdr:sp>
        </xdr:grpSp>
        <xdr:cxnSp macro="">
          <xdr:nvCxnSpPr>
            <xdr:cNvPr id="43" name="Conector reto 42">
              <a:extLst>
                <a:ext uri="{FF2B5EF4-FFF2-40B4-BE49-F238E27FC236}">
                  <a16:creationId xmlns:a16="http://schemas.microsoft.com/office/drawing/2014/main" id="{2B545DFF-F45C-4ADD-BA07-EC4017008E2A}"/>
                </a:ext>
              </a:extLst>
            </xdr:cNvPr>
            <xdr:cNvCxnSpPr/>
          </xdr:nvCxnSpPr>
          <xdr:spPr>
            <a:xfrm flipH="1">
              <a:off x="908050" y="1518415"/>
              <a:ext cx="1" cy="529933"/>
            </a:xfrm>
            <a:prstGeom prst="line">
              <a:avLst/>
            </a:prstGeom>
            <a:ln>
              <a:solidFill>
                <a:schemeClr val="tx1"/>
              </a:solidFill>
              <a:prstDash val="dashDot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44" name="Conector reto 43">
              <a:extLst>
                <a:ext uri="{FF2B5EF4-FFF2-40B4-BE49-F238E27FC236}">
                  <a16:creationId xmlns:a16="http://schemas.microsoft.com/office/drawing/2014/main" id="{4C4A0116-C682-48C7-AB8D-AC5D6FA787D8}"/>
                </a:ext>
              </a:extLst>
            </xdr:cNvPr>
            <xdr:cNvCxnSpPr/>
          </xdr:nvCxnSpPr>
          <xdr:spPr>
            <a:xfrm flipH="1">
              <a:off x="1922433" y="1492250"/>
              <a:ext cx="7968" cy="480046"/>
            </a:xfrm>
            <a:prstGeom prst="line">
              <a:avLst/>
            </a:prstGeom>
            <a:ln>
              <a:solidFill>
                <a:schemeClr val="tx1"/>
              </a:solidFill>
              <a:prstDash val="dashDot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266700</xdr:colOff>
      <xdr:row>15</xdr:row>
      <xdr:rowOff>7942</xdr:rowOff>
    </xdr:from>
    <xdr:to>
      <xdr:col>6</xdr:col>
      <xdr:colOff>57150</xdr:colOff>
      <xdr:row>17</xdr:row>
      <xdr:rowOff>152405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710A442E-7F63-4641-B1AD-A398A214290A}"/>
            </a:ext>
          </a:extLst>
        </xdr:cNvPr>
        <xdr:cNvGrpSpPr/>
      </xdr:nvGrpSpPr>
      <xdr:grpSpPr>
        <a:xfrm>
          <a:off x="447675" y="2741617"/>
          <a:ext cx="2695575" cy="525463"/>
          <a:chOff x="241300" y="1443037"/>
          <a:chExt cx="2838450" cy="500063"/>
        </a:xfrm>
      </xdr:grpSpPr>
      <xdr:sp macro="" textlink="">
        <xdr:nvSpPr>
          <xdr:cNvPr id="51" name="CaixaDeTexto 50">
            <a:extLst>
              <a:ext uri="{FF2B5EF4-FFF2-40B4-BE49-F238E27FC236}">
                <a16:creationId xmlns:a16="http://schemas.microsoft.com/office/drawing/2014/main" id="{E90DA4BD-147D-4AD8-B430-C7085362D522}"/>
              </a:ext>
            </a:extLst>
          </xdr:cNvPr>
          <xdr:cNvSpPr txBox="1"/>
        </xdr:nvSpPr>
        <xdr:spPr>
          <a:xfrm>
            <a:off x="241300" y="1479550"/>
            <a:ext cx="762000" cy="463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050" b="1">
                <a:solidFill>
                  <a:sysClr val="windowText" lastClr="000000"/>
                </a:solidFill>
              </a:rPr>
              <a:t>Ativações</a:t>
            </a:r>
          </a:p>
          <a:p>
            <a:pPr algn="ctr"/>
            <a:r>
              <a:rPr lang="pt-BR" sz="900" b="0">
                <a:solidFill>
                  <a:sysClr val="windowText" lastClr="000000"/>
                </a:solidFill>
              </a:rPr>
              <a:t>(Mês)</a:t>
            </a:r>
            <a:endParaRPr lang="pt-BR" sz="1050" b="0">
              <a:solidFill>
                <a:sysClr val="windowText" lastClr="000000"/>
              </a:solidFill>
            </a:endParaRPr>
          </a:p>
        </xdr:txBody>
      </xdr:sp>
      <xdr:grpSp>
        <xdr:nvGrpSpPr>
          <xdr:cNvPr id="52" name="Agrupar 51">
            <a:extLst>
              <a:ext uri="{FF2B5EF4-FFF2-40B4-BE49-F238E27FC236}">
                <a16:creationId xmlns:a16="http://schemas.microsoft.com/office/drawing/2014/main" id="{47CFD71C-A7D4-401C-9985-BB1A9D173CDC}"/>
              </a:ext>
            </a:extLst>
          </xdr:cNvPr>
          <xdr:cNvGrpSpPr/>
        </xdr:nvGrpSpPr>
        <xdr:grpSpPr>
          <a:xfrm>
            <a:off x="260350" y="1443037"/>
            <a:ext cx="2819400" cy="455612"/>
            <a:chOff x="196850" y="1443037"/>
            <a:chExt cx="2819400" cy="455612"/>
          </a:xfrm>
        </xdr:grpSpPr>
        <xdr:grpSp>
          <xdr:nvGrpSpPr>
            <xdr:cNvPr id="53" name="Agrupar 52">
              <a:extLst>
                <a:ext uri="{FF2B5EF4-FFF2-40B4-BE49-F238E27FC236}">
                  <a16:creationId xmlns:a16="http://schemas.microsoft.com/office/drawing/2014/main" id="{F69AEFBD-A055-477A-8534-F22D88108432}"/>
                </a:ext>
              </a:extLst>
            </xdr:cNvPr>
            <xdr:cNvGrpSpPr/>
          </xdr:nvGrpSpPr>
          <xdr:grpSpPr>
            <a:xfrm>
              <a:off x="196850" y="1443037"/>
              <a:ext cx="2819400" cy="455612"/>
              <a:chOff x="539750" y="989404"/>
              <a:chExt cx="2819400" cy="528246"/>
            </a:xfrm>
          </xdr:grpSpPr>
          <xdr:sp macro="" textlink="">
            <xdr:nvSpPr>
              <xdr:cNvPr id="56" name="Retângulo: Cantos Arredondados 55">
                <a:extLst>
                  <a:ext uri="{FF2B5EF4-FFF2-40B4-BE49-F238E27FC236}">
                    <a16:creationId xmlns:a16="http://schemas.microsoft.com/office/drawing/2014/main" id="{E49C2EA8-8134-44FA-9E85-6A3167F892A0}"/>
                  </a:ext>
                </a:extLst>
              </xdr:cNvPr>
              <xdr:cNvSpPr/>
            </xdr:nvSpPr>
            <xdr:spPr>
              <a:xfrm>
                <a:off x="539750" y="1009650"/>
                <a:ext cx="2806700" cy="508000"/>
              </a:xfrm>
              <a:prstGeom prst="roundRect">
                <a:avLst/>
              </a:prstGeom>
              <a:noFill/>
              <a:ln>
                <a:solidFill>
                  <a:schemeClr val="accent6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>
                  <a:solidFill>
                    <a:schemeClr val="accent4">
                      <a:lumMod val="60000"/>
                      <a:lumOff val="40000"/>
                    </a:schemeClr>
                  </a:solidFill>
                </a:endParaRPr>
              </a:p>
            </xdr:txBody>
          </xdr:sp>
          <xdr:sp macro="" textlink="'1. Plano Comercial'!S40">
            <xdr:nvSpPr>
              <xdr:cNvPr id="57" name="CaixaDeTexto 56">
                <a:extLst>
                  <a:ext uri="{FF2B5EF4-FFF2-40B4-BE49-F238E27FC236}">
                    <a16:creationId xmlns:a16="http://schemas.microsoft.com/office/drawing/2014/main" id="{AED64126-FA0F-4430-AF24-3A25898A0803}"/>
                  </a:ext>
                </a:extLst>
              </xdr:cNvPr>
              <xdr:cNvSpPr txBox="1"/>
            </xdr:nvSpPr>
            <xdr:spPr>
              <a:xfrm>
                <a:off x="2406650" y="1202911"/>
                <a:ext cx="812800" cy="2921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fld id="{5E9F2028-BC66-4721-8F66-4B1CB6031120}" type="TxLink">
                  <a:rPr lang="en-US" sz="1200" b="1" i="0" u="none" strike="noStrike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Calibri"/>
                    <a:ea typeface="+mn-ea"/>
                    <a:cs typeface="Calibri"/>
                  </a:rPr>
                  <a:pPr marL="0" indent="0" algn="ctr"/>
                  <a:t>8</a:t>
                </a:fld>
                <a:endParaRPr lang="pt-BR" sz="1050" b="1" i="0" u="none" strike="noStrike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Calibri"/>
                  <a:ea typeface="+mn-ea"/>
                  <a:cs typeface="Calibri"/>
                </a:endParaRPr>
              </a:p>
            </xdr:txBody>
          </xdr:sp>
          <xdr:sp macro="" textlink="">
            <xdr:nvSpPr>
              <xdr:cNvPr id="58" name="CaixaDeTexto 57">
                <a:extLst>
                  <a:ext uri="{FF2B5EF4-FFF2-40B4-BE49-F238E27FC236}">
                    <a16:creationId xmlns:a16="http://schemas.microsoft.com/office/drawing/2014/main" id="{F9FB4352-1291-4944-986A-1868C526D52E}"/>
                  </a:ext>
                </a:extLst>
              </xdr:cNvPr>
              <xdr:cNvSpPr txBox="1"/>
            </xdr:nvSpPr>
            <xdr:spPr>
              <a:xfrm>
                <a:off x="1358900" y="989404"/>
                <a:ext cx="812800" cy="2921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r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+mn-ea"/>
                    <a:cs typeface="Calibri"/>
                  </a:rPr>
                  <a:t>Prospects</a:t>
                </a:r>
              </a:p>
            </xdr:txBody>
          </xdr:sp>
          <xdr:sp macro="" textlink="">
            <xdr:nvSpPr>
              <xdr:cNvPr id="59" name="CaixaDeTexto 58">
                <a:extLst>
                  <a:ext uri="{FF2B5EF4-FFF2-40B4-BE49-F238E27FC236}">
                    <a16:creationId xmlns:a16="http://schemas.microsoft.com/office/drawing/2014/main" id="{CB0904FC-84A5-437F-A9E3-5D17B64B8FD6}"/>
                  </a:ext>
                </a:extLst>
              </xdr:cNvPr>
              <xdr:cNvSpPr txBox="1"/>
            </xdr:nvSpPr>
            <xdr:spPr>
              <a:xfrm>
                <a:off x="2241550" y="989404"/>
                <a:ext cx="1117600" cy="32946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r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+mn-ea"/>
                    <a:cs typeface="Calibri"/>
                  </a:rPr>
                  <a:t>Ativações</a:t>
                </a:r>
              </a:p>
            </xdr:txBody>
          </xdr:sp>
          <xdr:sp macro="" textlink="'1. Plano Comercial'!S29">
            <xdr:nvSpPr>
              <xdr:cNvPr id="60" name="CaixaDeTexto 59">
                <a:extLst>
                  <a:ext uri="{FF2B5EF4-FFF2-40B4-BE49-F238E27FC236}">
                    <a16:creationId xmlns:a16="http://schemas.microsoft.com/office/drawing/2014/main" id="{2DE690B3-2E02-42E5-977D-278C78E45795}"/>
                  </a:ext>
                </a:extLst>
              </xdr:cNvPr>
              <xdr:cNvSpPr txBox="1"/>
            </xdr:nvSpPr>
            <xdr:spPr>
              <a:xfrm>
                <a:off x="1358900" y="1202911"/>
                <a:ext cx="812800" cy="29210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47B4D972-83E8-46FD-A1EA-108AAFE74240}" type="TxLink">
                  <a:rPr lang="en-US" sz="1200" b="1" i="0" u="none" strike="noStrike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Calibri"/>
                    <a:cs typeface="Calibri"/>
                  </a:rPr>
                  <a:pPr algn="ctr"/>
                  <a:t>58</a:t>
                </a:fld>
                <a:endParaRPr lang="pt-BR" sz="800" b="1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endParaRPr>
              </a:p>
            </xdr:txBody>
          </xdr:sp>
        </xdr:grpSp>
        <xdr:cxnSp macro="">
          <xdr:nvCxnSpPr>
            <xdr:cNvPr id="54" name="Conector reto 53">
              <a:extLst>
                <a:ext uri="{FF2B5EF4-FFF2-40B4-BE49-F238E27FC236}">
                  <a16:creationId xmlns:a16="http://schemas.microsoft.com/office/drawing/2014/main" id="{0E292B10-97C6-4736-AEB5-EF3E1D19B3B5}"/>
                </a:ext>
              </a:extLst>
            </xdr:cNvPr>
            <xdr:cNvCxnSpPr/>
          </xdr:nvCxnSpPr>
          <xdr:spPr>
            <a:xfrm flipH="1">
              <a:off x="908050" y="1492250"/>
              <a:ext cx="1" cy="361950"/>
            </a:xfrm>
            <a:prstGeom prst="line">
              <a:avLst/>
            </a:prstGeom>
            <a:ln>
              <a:solidFill>
                <a:schemeClr val="tx1"/>
              </a:solidFill>
              <a:prstDash val="dashDot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55" name="Conector reto 54">
              <a:extLst>
                <a:ext uri="{FF2B5EF4-FFF2-40B4-BE49-F238E27FC236}">
                  <a16:creationId xmlns:a16="http://schemas.microsoft.com/office/drawing/2014/main" id="{F44E5C76-8747-4D74-B4F2-E50EBA542D3F}"/>
                </a:ext>
              </a:extLst>
            </xdr:cNvPr>
            <xdr:cNvCxnSpPr/>
          </xdr:nvCxnSpPr>
          <xdr:spPr>
            <a:xfrm flipH="1">
              <a:off x="1930400" y="1492250"/>
              <a:ext cx="1" cy="361950"/>
            </a:xfrm>
            <a:prstGeom prst="line">
              <a:avLst/>
            </a:prstGeom>
            <a:ln>
              <a:solidFill>
                <a:schemeClr val="tx1"/>
              </a:solidFill>
              <a:prstDash val="dashDot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254000</xdr:colOff>
      <xdr:row>10</xdr:row>
      <xdr:rowOff>160341</xdr:rowOff>
    </xdr:from>
    <xdr:to>
      <xdr:col>6</xdr:col>
      <xdr:colOff>171450</xdr:colOff>
      <xdr:row>14</xdr:row>
      <xdr:rowOff>114309</xdr:rowOff>
    </xdr:to>
    <xdr:grpSp>
      <xdr:nvGrpSpPr>
        <xdr:cNvPr id="61" name="Agrupar 60">
          <a:extLst>
            <a:ext uri="{FF2B5EF4-FFF2-40B4-BE49-F238E27FC236}">
              <a16:creationId xmlns:a16="http://schemas.microsoft.com/office/drawing/2014/main" id="{37A4D580-5178-421B-8759-8CB7F5C05076}"/>
            </a:ext>
          </a:extLst>
        </xdr:cNvPr>
        <xdr:cNvGrpSpPr/>
      </xdr:nvGrpSpPr>
      <xdr:grpSpPr>
        <a:xfrm>
          <a:off x="434975" y="1941516"/>
          <a:ext cx="2822575" cy="715968"/>
          <a:chOff x="228600" y="1443037"/>
          <a:chExt cx="2971757" cy="690010"/>
        </a:xfrm>
      </xdr:grpSpPr>
      <xdr:sp macro="" textlink="">
        <xdr:nvSpPr>
          <xdr:cNvPr id="62" name="CaixaDeTexto 61">
            <a:extLst>
              <a:ext uri="{FF2B5EF4-FFF2-40B4-BE49-F238E27FC236}">
                <a16:creationId xmlns:a16="http://schemas.microsoft.com/office/drawing/2014/main" id="{FB77E845-89D8-435B-A050-DE35BC496F6B}"/>
              </a:ext>
            </a:extLst>
          </xdr:cNvPr>
          <xdr:cNvSpPr txBox="1"/>
        </xdr:nvSpPr>
        <xdr:spPr>
          <a:xfrm>
            <a:off x="228600" y="1568517"/>
            <a:ext cx="793750" cy="463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050" b="1">
                <a:solidFill>
                  <a:sysClr val="windowText" lastClr="000000"/>
                </a:solidFill>
              </a:rPr>
              <a:t>Captação</a:t>
            </a:r>
          </a:p>
          <a:p>
            <a:pPr algn="ctr"/>
            <a:r>
              <a:rPr lang="pt-BR" sz="900" b="0">
                <a:solidFill>
                  <a:sysClr val="windowText" lastClr="000000"/>
                </a:solidFill>
              </a:rPr>
              <a:t>(Período)</a:t>
            </a:r>
            <a:endParaRPr lang="pt-BR" sz="1050" b="0">
              <a:solidFill>
                <a:sysClr val="windowText" lastClr="000000"/>
              </a:solidFill>
            </a:endParaRPr>
          </a:p>
        </xdr:txBody>
      </xdr:sp>
      <xdr:grpSp>
        <xdr:nvGrpSpPr>
          <xdr:cNvPr id="63" name="Agrupar 62">
            <a:extLst>
              <a:ext uri="{FF2B5EF4-FFF2-40B4-BE49-F238E27FC236}">
                <a16:creationId xmlns:a16="http://schemas.microsoft.com/office/drawing/2014/main" id="{135EA683-64B6-4248-99B4-79B2E5B1D43B}"/>
              </a:ext>
            </a:extLst>
          </xdr:cNvPr>
          <xdr:cNvGrpSpPr/>
        </xdr:nvGrpSpPr>
        <xdr:grpSpPr>
          <a:xfrm>
            <a:off x="260350" y="1443037"/>
            <a:ext cx="2940007" cy="690010"/>
            <a:chOff x="196850" y="1443037"/>
            <a:chExt cx="2940007" cy="690010"/>
          </a:xfrm>
        </xdr:grpSpPr>
        <xdr:grpSp>
          <xdr:nvGrpSpPr>
            <xdr:cNvPr id="64" name="Agrupar 63">
              <a:extLst>
                <a:ext uri="{FF2B5EF4-FFF2-40B4-BE49-F238E27FC236}">
                  <a16:creationId xmlns:a16="http://schemas.microsoft.com/office/drawing/2014/main" id="{A77922B0-0727-45DF-BBD9-C0FEFE4D49AC}"/>
                </a:ext>
              </a:extLst>
            </xdr:cNvPr>
            <xdr:cNvGrpSpPr/>
          </xdr:nvGrpSpPr>
          <xdr:grpSpPr>
            <a:xfrm>
              <a:off x="196850" y="1443037"/>
              <a:ext cx="2940007" cy="690010"/>
              <a:chOff x="539750" y="989403"/>
              <a:chExt cx="2940007" cy="800011"/>
            </a:xfrm>
          </xdr:grpSpPr>
          <xdr:sp macro="" textlink="">
            <xdr:nvSpPr>
              <xdr:cNvPr id="67" name="Retângulo: Cantos Arredondados 66">
                <a:extLst>
                  <a:ext uri="{FF2B5EF4-FFF2-40B4-BE49-F238E27FC236}">
                    <a16:creationId xmlns:a16="http://schemas.microsoft.com/office/drawing/2014/main" id="{3ED67220-84A9-4A85-AB19-1C6509C328D3}"/>
                  </a:ext>
                </a:extLst>
              </xdr:cNvPr>
              <xdr:cNvSpPr/>
            </xdr:nvSpPr>
            <xdr:spPr>
              <a:xfrm>
                <a:off x="539750" y="1009650"/>
                <a:ext cx="2806700" cy="779764"/>
              </a:xfrm>
              <a:prstGeom prst="roundRect">
                <a:avLst/>
              </a:prstGeom>
              <a:noFill/>
              <a:ln>
                <a:solidFill>
                  <a:schemeClr val="accent6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>
                  <a:solidFill>
                    <a:schemeClr val="accent4">
                      <a:lumMod val="60000"/>
                      <a:lumOff val="40000"/>
                    </a:schemeClr>
                  </a:solidFill>
                </a:endParaRPr>
              </a:p>
            </xdr:txBody>
          </xdr:sp>
          <xdr:sp macro="" textlink="'1. Plano Comercial'!S25">
            <xdr:nvSpPr>
              <xdr:cNvPr id="68" name="CaixaDeTexto 67">
                <a:extLst>
                  <a:ext uri="{FF2B5EF4-FFF2-40B4-BE49-F238E27FC236}">
                    <a16:creationId xmlns:a16="http://schemas.microsoft.com/office/drawing/2014/main" id="{CDAE9477-5FA5-45D4-81D3-4953EE38D273}"/>
                  </a:ext>
                </a:extLst>
              </xdr:cNvPr>
              <xdr:cNvSpPr txBox="1"/>
            </xdr:nvSpPr>
            <xdr:spPr>
              <a:xfrm>
                <a:off x="1143000" y="1202910"/>
                <a:ext cx="1276350" cy="32210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424AB9C7-EA46-48E3-980C-E0D3A80819F1}" type="TxLink">
                  <a:rPr lang="en-US" sz="10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 algn="ctr"/>
                  <a:t>R$ 26.784.000</a:t>
                </a:fld>
                <a:endParaRPr lang="pt-BR" sz="700" b="0">
                  <a:solidFill>
                    <a:sysClr val="windowText" lastClr="000000"/>
                  </a:solidFill>
                </a:endParaRPr>
              </a:p>
            </xdr:txBody>
          </xdr:sp>
          <xdr:sp macro="" textlink="'1. Plano Comercial'!#REF!">
            <xdr:nvSpPr>
              <xdr:cNvPr id="69" name="CaixaDeTexto 68">
                <a:extLst>
                  <a:ext uri="{FF2B5EF4-FFF2-40B4-BE49-F238E27FC236}">
                    <a16:creationId xmlns:a16="http://schemas.microsoft.com/office/drawing/2014/main" id="{A192B495-F536-4078-BAE1-55A55DF07B43}"/>
                  </a:ext>
                </a:extLst>
              </xdr:cNvPr>
              <xdr:cNvSpPr txBox="1"/>
            </xdr:nvSpPr>
            <xdr:spPr>
              <a:xfrm>
                <a:off x="2222500" y="1202911"/>
                <a:ext cx="1257257" cy="26320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fld id="{C620E963-6D89-4804-9B3B-872011A14E25}" type="TxLink">
                  <a:rPr lang="en-US" sz="1000" b="1" i="0" u="none" strike="noStrike">
                    <a:solidFill>
                      <a:srgbClr val="000000"/>
                    </a:solidFill>
                    <a:latin typeface="Calibri"/>
                    <a:ea typeface="+mn-ea"/>
                    <a:cs typeface="Calibri"/>
                  </a:rPr>
                  <a:pPr marL="0" indent="0" algn="ctr"/>
                  <a:t>R$ 0,00</a:t>
                </a:fld>
                <a:endParaRPr lang="pt-BR" sz="1000" b="0" i="0" u="none" strike="noStrike">
                  <a:solidFill>
                    <a:sysClr val="windowText" lastClr="000000"/>
                  </a:solidFill>
                  <a:latin typeface="Calibri"/>
                  <a:ea typeface="+mn-ea"/>
                  <a:cs typeface="Calibri"/>
                </a:endParaRPr>
              </a:p>
            </xdr:txBody>
          </xdr:sp>
          <xdr:sp macro="" textlink="">
            <xdr:nvSpPr>
              <xdr:cNvPr id="70" name="CaixaDeTexto 69">
                <a:extLst>
                  <a:ext uri="{FF2B5EF4-FFF2-40B4-BE49-F238E27FC236}">
                    <a16:creationId xmlns:a16="http://schemas.microsoft.com/office/drawing/2014/main" id="{B03796FE-2868-4E48-98F7-D875E4A0A096}"/>
                  </a:ext>
                </a:extLst>
              </xdr:cNvPr>
              <xdr:cNvSpPr txBox="1"/>
            </xdr:nvSpPr>
            <xdr:spPr>
              <a:xfrm>
                <a:off x="1250950" y="989403"/>
                <a:ext cx="1022350" cy="31474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r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+mn-ea"/>
                    <a:cs typeface="Calibri"/>
                  </a:rPr>
                  <a:t>Novos</a:t>
                </a:r>
                <a:r>
                  <a:rPr lang="en-US" sz="1000" b="1" i="0" u="none" strike="noStrike" baseline="0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+mn-ea"/>
                    <a:cs typeface="Calibri"/>
                  </a:rPr>
                  <a:t> Clientes</a:t>
                </a:r>
                <a:endParaRPr lang="en-US" sz="1000" b="1" i="0" u="none" strike="noStrike">
                  <a:solidFill>
                    <a:schemeClr val="accent6">
                      <a:lumMod val="75000"/>
                    </a:schemeClr>
                  </a:solidFill>
                  <a:latin typeface="Calibri"/>
                  <a:ea typeface="+mn-ea"/>
                  <a:cs typeface="Calibri"/>
                </a:endParaRPr>
              </a:p>
            </xdr:txBody>
          </xdr:sp>
          <xdr:sp macro="" textlink="">
            <xdr:nvSpPr>
              <xdr:cNvPr id="71" name="CaixaDeTexto 70">
                <a:extLst>
                  <a:ext uri="{FF2B5EF4-FFF2-40B4-BE49-F238E27FC236}">
                    <a16:creationId xmlns:a16="http://schemas.microsoft.com/office/drawing/2014/main" id="{6678AF92-9F03-4A6C-ABBE-AF91EB6C25E7}"/>
                  </a:ext>
                </a:extLst>
              </xdr:cNvPr>
              <xdr:cNvSpPr txBox="1"/>
            </xdr:nvSpPr>
            <xdr:spPr>
              <a:xfrm>
                <a:off x="2241550" y="989404"/>
                <a:ext cx="1117600" cy="32946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r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+mn-ea"/>
                    <a:cs typeface="Calibri"/>
                  </a:rPr>
                  <a:t>Clientes da Base</a:t>
                </a:r>
              </a:p>
            </xdr:txBody>
          </xdr:sp>
        </xdr:grpSp>
        <xdr:cxnSp macro="">
          <xdr:nvCxnSpPr>
            <xdr:cNvPr id="65" name="Conector reto 64">
              <a:extLst>
                <a:ext uri="{FF2B5EF4-FFF2-40B4-BE49-F238E27FC236}">
                  <a16:creationId xmlns:a16="http://schemas.microsoft.com/office/drawing/2014/main" id="{03536378-DAB1-44C2-A829-D23A8906E705}"/>
                </a:ext>
              </a:extLst>
            </xdr:cNvPr>
            <xdr:cNvCxnSpPr/>
          </xdr:nvCxnSpPr>
          <xdr:spPr>
            <a:xfrm flipH="1">
              <a:off x="908050" y="1482740"/>
              <a:ext cx="1" cy="582924"/>
            </a:xfrm>
            <a:prstGeom prst="line">
              <a:avLst/>
            </a:prstGeom>
            <a:ln>
              <a:solidFill>
                <a:schemeClr val="tx1"/>
              </a:solidFill>
              <a:prstDash val="dashDot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66" name="Conector reto 65">
              <a:extLst>
                <a:ext uri="{FF2B5EF4-FFF2-40B4-BE49-F238E27FC236}">
                  <a16:creationId xmlns:a16="http://schemas.microsoft.com/office/drawing/2014/main" id="{136EF8DC-4B9F-44E5-9617-784039BDC50B}"/>
                </a:ext>
              </a:extLst>
            </xdr:cNvPr>
            <xdr:cNvCxnSpPr/>
          </xdr:nvCxnSpPr>
          <xdr:spPr>
            <a:xfrm flipH="1">
              <a:off x="1930400" y="1492250"/>
              <a:ext cx="1" cy="361950"/>
            </a:xfrm>
            <a:prstGeom prst="line">
              <a:avLst/>
            </a:prstGeom>
            <a:ln>
              <a:solidFill>
                <a:schemeClr val="tx1"/>
              </a:solidFill>
              <a:prstDash val="dashDot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12</xdr:col>
      <xdr:colOff>66677</xdr:colOff>
      <xdr:row>5</xdr:row>
      <xdr:rowOff>38100</xdr:rowOff>
    </xdr:from>
    <xdr:to>
      <xdr:col>13</xdr:col>
      <xdr:colOff>44452</xdr:colOff>
      <xdr:row>6</xdr:row>
      <xdr:rowOff>158750</xdr:rowOff>
    </xdr:to>
    <xdr:grpSp>
      <xdr:nvGrpSpPr>
        <xdr:cNvPr id="72" name="Agrupar 71">
          <a:extLst>
            <a:ext uri="{FF2B5EF4-FFF2-40B4-BE49-F238E27FC236}">
              <a16:creationId xmlns:a16="http://schemas.microsoft.com/office/drawing/2014/main" id="{2E1D7944-B203-4097-8B46-2338D27120EF}"/>
            </a:ext>
          </a:extLst>
        </xdr:cNvPr>
        <xdr:cNvGrpSpPr/>
      </xdr:nvGrpSpPr>
      <xdr:grpSpPr>
        <a:xfrm>
          <a:off x="6638927" y="866775"/>
          <a:ext cx="558800" cy="311150"/>
          <a:chOff x="6651625" y="393700"/>
          <a:chExt cx="578721" cy="311150"/>
        </a:xfrm>
      </xdr:grpSpPr>
      <xdr:sp macro="" textlink="">
        <xdr:nvSpPr>
          <xdr:cNvPr id="73" name="Retângulo: Cantos Arredondados 72">
            <a:extLst>
              <a:ext uri="{FF2B5EF4-FFF2-40B4-BE49-F238E27FC236}">
                <a16:creationId xmlns:a16="http://schemas.microsoft.com/office/drawing/2014/main" id="{74725477-951C-4901-A2FF-327FBA501737}"/>
              </a:ext>
            </a:extLst>
          </xdr:cNvPr>
          <xdr:cNvSpPr/>
        </xdr:nvSpPr>
        <xdr:spPr>
          <a:xfrm>
            <a:off x="6651625" y="393700"/>
            <a:ext cx="527050" cy="279400"/>
          </a:xfrm>
          <a:prstGeom prst="roundRect">
            <a:avLst/>
          </a:prstGeom>
          <a:noFill/>
          <a:ln>
            <a:solidFill>
              <a:schemeClr val="accent4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'1. Plano Comercial'!D33">
        <xdr:nvSpPr>
          <xdr:cNvPr id="74" name="CaixaDeTexto 73">
            <a:extLst>
              <a:ext uri="{FF2B5EF4-FFF2-40B4-BE49-F238E27FC236}">
                <a16:creationId xmlns:a16="http://schemas.microsoft.com/office/drawing/2014/main" id="{AEB06F5F-6021-4EBE-BF28-070A76FEDDF7}"/>
              </a:ext>
            </a:extLst>
          </xdr:cNvPr>
          <xdr:cNvSpPr txBox="1"/>
        </xdr:nvSpPr>
        <xdr:spPr>
          <a:xfrm>
            <a:off x="6651625" y="400050"/>
            <a:ext cx="578721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96E6ADC7-0602-4163-A883-733C2B134924}" type="TxLink">
              <a:rPr lang="en-US" sz="12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R$ 6.696.000</a:t>
            </a:fld>
            <a:endParaRPr lang="pt-BR" sz="11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</xdr:grpSp>
    <xdr:clientData/>
  </xdr:twoCellAnchor>
  <xdr:twoCellAnchor>
    <xdr:from>
      <xdr:col>18</xdr:col>
      <xdr:colOff>415925</xdr:colOff>
      <xdr:row>5</xdr:row>
      <xdr:rowOff>25400</xdr:rowOff>
    </xdr:from>
    <xdr:to>
      <xdr:col>19</xdr:col>
      <xdr:colOff>333375</xdr:colOff>
      <xdr:row>6</xdr:row>
      <xdr:rowOff>114300</xdr:rowOff>
    </xdr:to>
    <xdr:sp macro="" textlink="">
      <xdr:nvSpPr>
        <xdr:cNvPr id="76" name="Retângulo: Cantos Arredondados 80">
          <a:extLst>
            <a:ext uri="{FF2B5EF4-FFF2-40B4-BE49-F238E27FC236}">
              <a16:creationId xmlns:a16="http://schemas.microsoft.com/office/drawing/2014/main" id="{F503335D-BFFA-4FA5-8BFA-99E3292347A4}"/>
            </a:ext>
          </a:extLst>
        </xdr:cNvPr>
        <xdr:cNvSpPr/>
      </xdr:nvSpPr>
      <xdr:spPr>
        <a:xfrm>
          <a:off x="10645775" y="854075"/>
          <a:ext cx="508000" cy="279400"/>
        </a:xfrm>
        <a:prstGeom prst="roundRect">
          <a:avLst/>
        </a:prstGeom>
        <a:noFill/>
        <a:ln>
          <a:solidFill>
            <a:schemeClr val="accent4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7</xdr:col>
      <xdr:colOff>492125</xdr:colOff>
      <xdr:row>30</xdr:row>
      <xdr:rowOff>152400</xdr:rowOff>
    </xdr:from>
    <xdr:to>
      <xdr:col>8</xdr:col>
      <xdr:colOff>358775</xdr:colOff>
      <xdr:row>32</xdr:row>
      <xdr:rowOff>73025</xdr:rowOff>
    </xdr:to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B62652E2-D0F2-44E5-A30B-D192B404E6D7}"/>
            </a:ext>
          </a:extLst>
        </xdr:cNvPr>
        <xdr:cNvSpPr txBox="1"/>
      </xdr:nvSpPr>
      <xdr:spPr>
        <a:xfrm>
          <a:off x="4384675" y="5556250"/>
          <a:ext cx="482600" cy="288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t> </a:t>
          </a:r>
        </a:p>
      </xdr:txBody>
    </xdr:sp>
    <xdr:clientData/>
  </xdr:twoCellAnchor>
  <xdr:twoCellAnchor>
    <xdr:from>
      <xdr:col>7</xdr:col>
      <xdr:colOff>95250</xdr:colOff>
      <xdr:row>27</xdr:row>
      <xdr:rowOff>82550</xdr:rowOff>
    </xdr:from>
    <xdr:to>
      <xdr:col>7</xdr:col>
      <xdr:colOff>285750</xdr:colOff>
      <xdr:row>29</xdr:row>
      <xdr:rowOff>6350</xdr:rowOff>
    </xdr:to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57BC6895-1FD6-44D8-B7B6-FCBF01AB8E25}"/>
            </a:ext>
          </a:extLst>
        </xdr:cNvPr>
        <xdr:cNvSpPr txBox="1"/>
      </xdr:nvSpPr>
      <xdr:spPr>
        <a:xfrm>
          <a:off x="3987800" y="4933950"/>
          <a:ext cx="1905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endParaRPr lang="en-US" sz="105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18</xdr:col>
      <xdr:colOff>488950</xdr:colOff>
      <xdr:row>1</xdr:row>
      <xdr:rowOff>70825</xdr:rowOff>
    </xdr:from>
    <xdr:to>
      <xdr:col>19</xdr:col>
      <xdr:colOff>369830</xdr:colOff>
      <xdr:row>3</xdr:row>
      <xdr:rowOff>180974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54E1B077-3A0A-4D91-9482-544CCC9FC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500" y1="53500" x2="46000" y2="37500"/>
                      <a14:foregroundMark x1="73000" y1="64000" x2="69500" y2="40500"/>
                      <a14:foregroundMark x1="72000" y1="60500" x2="54000" y2="31500"/>
                      <a14:foregroundMark x1="65000" y1="50000" x2="65000" y2="50000"/>
                      <a14:foregroundMark x1="37000" y1="59000" x2="69500" y2="57000"/>
                      <a14:foregroundMark x1="76500" y1="53500" x2="74000" y2="43000"/>
                      <a14:foregroundMark x1="63000" y1="68500" x2="63000" y2="68500"/>
                      <a14:foregroundMark x1="49500" y1="81000" x2="49500" y2="81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6950" y="134325"/>
          <a:ext cx="496830" cy="478449"/>
        </a:xfrm>
        <a:prstGeom prst="rect">
          <a:avLst/>
        </a:prstGeom>
      </xdr:spPr>
    </xdr:pic>
    <xdr:clientData/>
  </xdr:twoCellAnchor>
  <xdr:twoCellAnchor>
    <xdr:from>
      <xdr:col>1</xdr:col>
      <xdr:colOff>101600</xdr:colOff>
      <xdr:row>1</xdr:row>
      <xdr:rowOff>142875</xdr:rowOff>
    </xdr:from>
    <xdr:to>
      <xdr:col>8</xdr:col>
      <xdr:colOff>482600</xdr:colOff>
      <xdr:row>3</xdr:row>
      <xdr:rowOff>66675</xdr:rowOff>
    </xdr:to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9762BAF0-7A9F-4C86-92AF-CFFAD05B01AC}"/>
            </a:ext>
          </a:extLst>
        </xdr:cNvPr>
        <xdr:cNvSpPr txBox="1"/>
      </xdr:nvSpPr>
      <xdr:spPr>
        <a:xfrm>
          <a:off x="298450" y="206375"/>
          <a:ext cx="469265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/>
            <a:t>Planejamento Individual | Assessor:</a:t>
          </a:r>
          <a:r>
            <a:rPr lang="pt-BR" sz="1400" b="1" baseline="0"/>
            <a:t> </a:t>
          </a:r>
          <a:endParaRPr lang="pt-BR" sz="1400" b="0" i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406403</xdr:colOff>
      <xdr:row>27</xdr:row>
      <xdr:rowOff>187323</xdr:rowOff>
    </xdr:from>
    <xdr:to>
      <xdr:col>4</xdr:col>
      <xdr:colOff>482603</xdr:colOff>
      <xdr:row>29</xdr:row>
      <xdr:rowOff>34923</xdr:rowOff>
    </xdr:to>
    <xdr:grpSp>
      <xdr:nvGrpSpPr>
        <xdr:cNvPr id="82" name="Agrupar 8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686774-3FAE-42A8-80AE-D5B15214E6A5}"/>
            </a:ext>
          </a:extLst>
        </xdr:cNvPr>
        <xdr:cNvGrpSpPr/>
      </xdr:nvGrpSpPr>
      <xdr:grpSpPr>
        <a:xfrm>
          <a:off x="1168403" y="5206998"/>
          <a:ext cx="1238250" cy="228600"/>
          <a:chOff x="10261603" y="4260848"/>
          <a:chExt cx="1295400" cy="222250"/>
        </a:xfrm>
      </xdr:grpSpPr>
      <xdr:sp macro="" textlink="">
        <xdr:nvSpPr>
          <xdr:cNvPr id="83" name="Retângulo: Cantos Arredondados 82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727D01D-B773-49D6-9C8E-0E52836894FF}"/>
              </a:ext>
            </a:extLst>
          </xdr:cNvPr>
          <xdr:cNvSpPr/>
        </xdr:nvSpPr>
        <xdr:spPr>
          <a:xfrm>
            <a:off x="10261603" y="4260848"/>
            <a:ext cx="1295400" cy="222250"/>
          </a:xfrm>
          <a:prstGeom prst="roundRect">
            <a:avLst/>
          </a:prstGeom>
          <a:solidFill>
            <a:schemeClr val="bg1">
              <a:lumMod val="75000"/>
            </a:schemeClr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0" i="1">
                <a:solidFill>
                  <a:schemeClr val="tx1"/>
                </a:solidFill>
              </a:rPr>
              <a:t>Detalhamento</a:t>
            </a:r>
          </a:p>
        </xdr:txBody>
      </xdr:sp>
      <xdr:pic>
        <xdr:nvPicPr>
          <xdr:cNvPr id="84" name="Imagem 83">
            <a:extLst>
              <a:ext uri="{FF2B5EF4-FFF2-40B4-BE49-F238E27FC236}">
                <a16:creationId xmlns:a16="http://schemas.microsoft.com/office/drawing/2014/main" id="{587A3FF2-2DB7-407B-96E5-7D0AA851E4C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30834" b="61958" l="25293" r="45142"/>
                    </a14:imgEffect>
                  </a14:imgLayer>
                </a14:imgProps>
              </a:ext>
            </a:extLst>
          </a:blip>
          <a:srcRect l="22812" t="26944" r="52377" b="34152"/>
          <a:stretch/>
        </xdr:blipFill>
        <xdr:spPr>
          <a:xfrm>
            <a:off x="11322050" y="4292600"/>
            <a:ext cx="163267" cy="1440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76200</xdr:colOff>
      <xdr:row>27</xdr:row>
      <xdr:rowOff>28575</xdr:rowOff>
    </xdr:from>
    <xdr:to>
      <xdr:col>18</xdr:col>
      <xdr:colOff>0</xdr:colOff>
      <xdr:row>28</xdr:row>
      <xdr:rowOff>136525</xdr:rowOff>
    </xdr:to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EB2B00EF-F3C9-4231-B0A4-F6A6AFB39445}"/>
            </a:ext>
          </a:extLst>
        </xdr:cNvPr>
        <xdr:cNvSpPr txBox="1"/>
      </xdr:nvSpPr>
      <xdr:spPr>
        <a:xfrm>
          <a:off x="7353300" y="5048250"/>
          <a:ext cx="28765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0" i="1">
              <a:solidFill>
                <a:sysClr val="windowText" lastClr="000000"/>
              </a:solidFill>
            </a:rPr>
            <a:t>* Considerando</a:t>
          </a:r>
          <a:r>
            <a:rPr lang="pt-BR" sz="1000" b="0" i="1" baseline="0">
              <a:solidFill>
                <a:sysClr val="windowText" lastClr="000000"/>
              </a:solidFill>
            </a:rPr>
            <a:t> a premissa de horizonte de análise.</a:t>
          </a:r>
          <a:endParaRPr lang="pt-BR" sz="1000" b="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120650</xdr:colOff>
      <xdr:row>13</xdr:row>
      <xdr:rowOff>36511</xdr:rowOff>
    </xdr:from>
    <xdr:to>
      <xdr:col>5</xdr:col>
      <xdr:colOff>228600</xdr:colOff>
      <xdr:row>14</xdr:row>
      <xdr:rowOff>134274</xdr:rowOff>
    </xdr:to>
    <xdr:sp macro="" textlink="'1. Plano Comercial'!D30">
      <xdr:nvSpPr>
        <xdr:cNvPr id="87" name="CaixaDeTexto 86">
          <a:extLst>
            <a:ext uri="{FF2B5EF4-FFF2-40B4-BE49-F238E27FC236}">
              <a16:creationId xmlns:a16="http://schemas.microsoft.com/office/drawing/2014/main" id="{1AA190D9-9296-4D94-8F3A-145ED5A9544D}"/>
            </a:ext>
          </a:extLst>
        </xdr:cNvPr>
        <xdr:cNvSpPr txBox="1"/>
      </xdr:nvSpPr>
      <xdr:spPr>
        <a:xfrm>
          <a:off x="1549400" y="2309811"/>
          <a:ext cx="1339850" cy="281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B912FC8-E440-44D2-B023-525E2A5A9FD9}" type="TxLink">
            <a:rPr lang="en-US" sz="105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R$ 33.480.000</a:t>
          </a:fld>
          <a:endParaRPr lang="pt-BR" sz="8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468206</xdr:colOff>
      <xdr:row>13</xdr:row>
      <xdr:rowOff>50126</xdr:rowOff>
    </xdr:from>
    <xdr:to>
      <xdr:col>5</xdr:col>
      <xdr:colOff>423970</xdr:colOff>
      <xdr:row>13</xdr:row>
      <xdr:rowOff>50126</xdr:rowOff>
    </xdr:to>
    <xdr:cxnSp macro="">
      <xdr:nvCxnSpPr>
        <xdr:cNvPr id="88" name="Conector reto 87">
          <a:extLst>
            <a:ext uri="{FF2B5EF4-FFF2-40B4-BE49-F238E27FC236}">
              <a16:creationId xmlns:a16="http://schemas.microsoft.com/office/drawing/2014/main" id="{410C0772-213E-412C-AC2F-B0E42808A82B}"/>
            </a:ext>
          </a:extLst>
        </xdr:cNvPr>
        <xdr:cNvCxnSpPr/>
      </xdr:nvCxnSpPr>
      <xdr:spPr>
        <a:xfrm flipH="1" flipV="1">
          <a:off x="1281006" y="2323426"/>
          <a:ext cx="1803614" cy="0"/>
        </a:xfrm>
        <a:prstGeom prst="line">
          <a:avLst/>
        </a:prstGeom>
        <a:ln>
          <a:solidFill>
            <a:schemeClr val="tx1"/>
          </a:solidFill>
          <a:prstDash val="dash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168275</xdr:colOff>
      <xdr:row>22</xdr:row>
      <xdr:rowOff>57150</xdr:rowOff>
    </xdr:from>
    <xdr:to>
      <xdr:col>11</xdr:col>
      <xdr:colOff>266700</xdr:colOff>
      <xdr:row>25</xdr:row>
      <xdr:rowOff>6350</xdr:rowOff>
    </xdr:to>
    <xdr:grpSp>
      <xdr:nvGrpSpPr>
        <xdr:cNvPr id="90" name="Agrupar 95">
          <a:extLst>
            <a:ext uri="{FF2B5EF4-FFF2-40B4-BE49-F238E27FC236}">
              <a16:creationId xmlns:a16="http://schemas.microsoft.com/office/drawing/2014/main" id="{BC658C6C-2A8E-4427-B147-4B5691E2EFA3}"/>
            </a:ext>
          </a:extLst>
        </xdr:cNvPr>
        <xdr:cNvGrpSpPr/>
      </xdr:nvGrpSpPr>
      <xdr:grpSpPr>
        <a:xfrm>
          <a:off x="4416425" y="4124325"/>
          <a:ext cx="1841500" cy="520700"/>
          <a:chOff x="2082800" y="2343150"/>
          <a:chExt cx="1022350" cy="508000"/>
        </a:xfrm>
        <a:solidFill>
          <a:schemeClr val="bg2">
            <a:lumMod val="75000"/>
          </a:schemeClr>
        </a:solidFill>
      </xdr:grpSpPr>
      <xdr:sp macro="" textlink="">
        <xdr:nvSpPr>
          <xdr:cNvPr id="91" name="Retângulo: Cantos Arredondados 96">
            <a:extLst>
              <a:ext uri="{FF2B5EF4-FFF2-40B4-BE49-F238E27FC236}">
                <a16:creationId xmlns:a16="http://schemas.microsoft.com/office/drawing/2014/main" id="{9B520442-9E17-435E-8B6E-B74A9421E5CB}"/>
              </a:ext>
            </a:extLst>
          </xdr:cNvPr>
          <xdr:cNvSpPr/>
        </xdr:nvSpPr>
        <xdr:spPr>
          <a:xfrm>
            <a:off x="2082800" y="2343150"/>
            <a:ext cx="1022350" cy="508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4">
                  <a:lumMod val="60000"/>
                  <a:lumOff val="40000"/>
                </a:schemeClr>
              </a:solidFill>
            </a:endParaRPr>
          </a:p>
        </xdr:txBody>
      </xdr:sp>
      <xdr:sp macro="" textlink="'1. Plano Comercial'!S36">
        <xdr:nvSpPr>
          <xdr:cNvPr id="92" name="CaixaDeTexto 97">
            <a:extLst>
              <a:ext uri="{FF2B5EF4-FFF2-40B4-BE49-F238E27FC236}">
                <a16:creationId xmlns:a16="http://schemas.microsoft.com/office/drawing/2014/main" id="{970C7850-CC70-489C-B7AB-E7D0C79033B0}"/>
              </a:ext>
            </a:extLst>
          </xdr:cNvPr>
          <xdr:cNvSpPr txBox="1"/>
        </xdr:nvSpPr>
        <xdr:spPr>
          <a:xfrm>
            <a:off x="2187575" y="2451100"/>
            <a:ext cx="812800" cy="2921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C158F03-3240-4F50-9532-D16D39F6D433}" type="TxLink">
              <a:rPr lang="en-US" sz="1200" b="1" i="0" u="none" strike="noStrike">
                <a:solidFill>
                  <a:srgbClr val="FFFFFF"/>
                </a:solidFill>
                <a:latin typeface="Calibri"/>
                <a:cs typeface="Calibri"/>
              </a:rPr>
              <a:pPr algn="ctr"/>
              <a:t>12</a:t>
            </a:fld>
            <a:endParaRPr lang="pt-BR" sz="1000" b="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8</xdr:col>
      <xdr:colOff>485775</xdr:colOff>
      <xdr:row>21</xdr:row>
      <xdr:rowOff>34925</xdr:rowOff>
    </xdr:from>
    <xdr:to>
      <xdr:col>10</xdr:col>
      <xdr:colOff>568325</xdr:colOff>
      <xdr:row>22</xdr:row>
      <xdr:rowOff>142875</xdr:rowOff>
    </xdr:to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EDEBA142-A8B3-4EB3-AD5D-E0D76F0EF20D}"/>
            </a:ext>
          </a:extLst>
        </xdr:cNvPr>
        <xdr:cNvSpPr txBox="1"/>
      </xdr:nvSpPr>
      <xdr:spPr>
        <a:xfrm>
          <a:off x="4994275" y="3781425"/>
          <a:ext cx="131445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0">
              <a:solidFill>
                <a:sysClr val="windowText" lastClr="000000"/>
              </a:solidFill>
            </a:rPr>
            <a:t>Contas Abertas</a:t>
          </a:r>
        </a:p>
      </xdr:txBody>
    </xdr:sp>
    <xdr:clientData/>
  </xdr:twoCellAnchor>
  <xdr:twoCellAnchor>
    <xdr:from>
      <xdr:col>8</xdr:col>
      <xdr:colOff>511175</xdr:colOff>
      <xdr:row>24</xdr:row>
      <xdr:rowOff>130175</xdr:rowOff>
    </xdr:from>
    <xdr:to>
      <xdr:col>10</xdr:col>
      <xdr:colOff>600075</xdr:colOff>
      <xdr:row>26</xdr:row>
      <xdr:rowOff>53975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3D0C8433-B2F1-4450-BAFD-E741A75BFD2A}"/>
            </a:ext>
          </a:extLst>
        </xdr:cNvPr>
        <xdr:cNvSpPr txBox="1"/>
      </xdr:nvSpPr>
      <xdr:spPr>
        <a:xfrm>
          <a:off x="5019675" y="4429125"/>
          <a:ext cx="13208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0">
              <a:solidFill>
                <a:sysClr val="windowText" lastClr="000000"/>
              </a:solidFill>
            </a:rPr>
            <a:t>Contas Ativadas</a:t>
          </a:r>
        </a:p>
      </xdr:txBody>
    </xdr:sp>
    <xdr:clientData/>
  </xdr:twoCellAnchor>
  <xdr:twoCellAnchor>
    <xdr:from>
      <xdr:col>8</xdr:col>
      <xdr:colOff>498474</xdr:colOff>
      <xdr:row>25</xdr:row>
      <xdr:rowOff>142875</xdr:rowOff>
    </xdr:from>
    <xdr:to>
      <xdr:col>10</xdr:col>
      <xdr:colOff>546099</xdr:colOff>
      <xdr:row>28</xdr:row>
      <xdr:rowOff>92075</xdr:rowOff>
    </xdr:to>
    <xdr:grpSp>
      <xdr:nvGrpSpPr>
        <xdr:cNvPr id="95" name="Agrupar 101">
          <a:extLst>
            <a:ext uri="{FF2B5EF4-FFF2-40B4-BE49-F238E27FC236}">
              <a16:creationId xmlns:a16="http://schemas.microsoft.com/office/drawing/2014/main" id="{49FA0427-A892-42CB-AAC2-B4F52614DDEE}"/>
            </a:ext>
          </a:extLst>
        </xdr:cNvPr>
        <xdr:cNvGrpSpPr/>
      </xdr:nvGrpSpPr>
      <xdr:grpSpPr>
        <a:xfrm>
          <a:off x="4746624" y="4781550"/>
          <a:ext cx="1209675" cy="520700"/>
          <a:chOff x="2082800" y="2343150"/>
          <a:chExt cx="1022350" cy="508000"/>
        </a:xfrm>
        <a:solidFill>
          <a:srgbClr val="FFC000"/>
        </a:solidFill>
      </xdr:grpSpPr>
      <xdr:sp macro="" textlink="">
        <xdr:nvSpPr>
          <xdr:cNvPr id="96" name="Retângulo: Cantos Arredondados 102">
            <a:extLst>
              <a:ext uri="{FF2B5EF4-FFF2-40B4-BE49-F238E27FC236}">
                <a16:creationId xmlns:a16="http://schemas.microsoft.com/office/drawing/2014/main" id="{7F899B50-1242-4981-8209-D35BED0D7FBB}"/>
              </a:ext>
            </a:extLst>
          </xdr:cNvPr>
          <xdr:cNvSpPr/>
        </xdr:nvSpPr>
        <xdr:spPr>
          <a:xfrm>
            <a:off x="2082800" y="2343150"/>
            <a:ext cx="1022350" cy="508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4">
                  <a:lumMod val="60000"/>
                  <a:lumOff val="40000"/>
                </a:schemeClr>
              </a:solidFill>
            </a:endParaRPr>
          </a:p>
        </xdr:txBody>
      </xdr:sp>
      <xdr:sp macro="" textlink="'1. Plano Comercial'!S40">
        <xdr:nvSpPr>
          <xdr:cNvPr id="97" name="CaixaDeTexto 103">
            <a:extLst>
              <a:ext uri="{FF2B5EF4-FFF2-40B4-BE49-F238E27FC236}">
                <a16:creationId xmlns:a16="http://schemas.microsoft.com/office/drawing/2014/main" id="{16A2CF97-66F6-4A9C-983D-BFF0872795AE}"/>
              </a:ext>
            </a:extLst>
          </xdr:cNvPr>
          <xdr:cNvSpPr txBox="1"/>
        </xdr:nvSpPr>
        <xdr:spPr>
          <a:xfrm>
            <a:off x="2187575" y="2451100"/>
            <a:ext cx="812800" cy="2921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B0B06C3-9C8A-4CE3-93F3-77D6C0652A07}" type="TxLink">
              <a:rPr lang="en-US" sz="1200" b="1" i="0" u="none" strike="noStrike">
                <a:solidFill>
                  <a:srgbClr val="FFFFFF"/>
                </a:solidFill>
                <a:latin typeface="Calibri"/>
                <a:cs typeface="Calibri"/>
              </a:rPr>
              <a:pPr algn="ctr"/>
              <a:t>8</a:t>
            </a:fld>
            <a:endParaRPr lang="pt-BR" sz="1000" b="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12</xdr:col>
      <xdr:colOff>112923</xdr:colOff>
      <xdr:row>18</xdr:row>
      <xdr:rowOff>47054</xdr:rowOff>
    </xdr:from>
    <xdr:to>
      <xdr:col>12</xdr:col>
      <xdr:colOff>364885</xdr:colOff>
      <xdr:row>21</xdr:row>
      <xdr:rowOff>83456</xdr:rowOff>
    </xdr:to>
    <xdr:sp macro="" textlink="">
      <xdr:nvSpPr>
        <xdr:cNvPr id="98" name="Seta: Curva para Baixo 97">
          <a:extLst>
            <a:ext uri="{FF2B5EF4-FFF2-40B4-BE49-F238E27FC236}">
              <a16:creationId xmlns:a16="http://schemas.microsoft.com/office/drawing/2014/main" id="{EDFE7975-D994-4D55-A12B-FDC6482BFB82}"/>
            </a:ext>
          </a:extLst>
        </xdr:cNvPr>
        <xdr:cNvSpPr/>
      </xdr:nvSpPr>
      <xdr:spPr>
        <a:xfrm rot="7366387">
          <a:off x="6916778" y="3409549"/>
          <a:ext cx="588852" cy="251962"/>
        </a:xfrm>
        <a:prstGeom prst="curvedDownArrow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154542</xdr:colOff>
      <xdr:row>25</xdr:row>
      <xdr:rowOff>112906</xdr:rowOff>
    </xdr:from>
    <xdr:to>
      <xdr:col>11</xdr:col>
      <xdr:colOff>408652</xdr:colOff>
      <xdr:row>28</xdr:row>
      <xdr:rowOff>113262</xdr:rowOff>
    </xdr:to>
    <xdr:sp macro="" textlink="">
      <xdr:nvSpPr>
        <xdr:cNvPr id="99" name="Seta: Curva para Baixo 98">
          <a:extLst>
            <a:ext uri="{FF2B5EF4-FFF2-40B4-BE49-F238E27FC236}">
              <a16:creationId xmlns:a16="http://schemas.microsoft.com/office/drawing/2014/main" id="{C30146DA-E494-44D4-8C2D-2CCD2F19EA14}"/>
            </a:ext>
          </a:extLst>
        </xdr:cNvPr>
        <xdr:cNvSpPr/>
      </xdr:nvSpPr>
      <xdr:spPr>
        <a:xfrm rot="7791485">
          <a:off x="6361544" y="4745354"/>
          <a:ext cx="552806" cy="254110"/>
        </a:xfrm>
        <a:prstGeom prst="curvedDownArrow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295784</xdr:colOff>
      <xdr:row>21</xdr:row>
      <xdr:rowOff>112051</xdr:rowOff>
    </xdr:from>
    <xdr:to>
      <xdr:col>7</xdr:col>
      <xdr:colOff>606710</xdr:colOff>
      <xdr:row>25</xdr:row>
      <xdr:rowOff>6719</xdr:rowOff>
    </xdr:to>
    <xdr:sp macro="" textlink="">
      <xdr:nvSpPr>
        <xdr:cNvPr id="100" name="Seta: Curva para Baixo 99">
          <a:extLst>
            <a:ext uri="{FF2B5EF4-FFF2-40B4-BE49-F238E27FC236}">
              <a16:creationId xmlns:a16="http://schemas.microsoft.com/office/drawing/2014/main" id="{771B072D-C6C3-4B74-A704-4EF4E4B3CB87}"/>
            </a:ext>
          </a:extLst>
        </xdr:cNvPr>
        <xdr:cNvSpPr/>
      </xdr:nvSpPr>
      <xdr:spPr>
        <a:xfrm rot="3755913" flipV="1">
          <a:off x="4028163" y="4018722"/>
          <a:ext cx="631268" cy="310926"/>
        </a:xfrm>
        <a:prstGeom prst="curvedDownArrow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171450</xdr:colOff>
      <xdr:row>24</xdr:row>
      <xdr:rowOff>171450</xdr:rowOff>
    </xdr:from>
    <xdr:to>
      <xdr:col>7</xdr:col>
      <xdr:colOff>361950</xdr:colOff>
      <xdr:row>26</xdr:row>
      <xdr:rowOff>95250</xdr:rowOff>
    </xdr:to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A523612B-01E1-4A84-83D4-0B4CB839D555}"/>
            </a:ext>
          </a:extLst>
        </xdr:cNvPr>
        <xdr:cNvSpPr txBox="1"/>
      </xdr:nvSpPr>
      <xdr:spPr>
        <a:xfrm>
          <a:off x="4064000" y="4470400"/>
          <a:ext cx="1905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endParaRPr lang="en-US" sz="105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238125</xdr:colOff>
      <xdr:row>20</xdr:row>
      <xdr:rowOff>152400</xdr:rowOff>
    </xdr:from>
    <xdr:to>
      <xdr:col>12</xdr:col>
      <xdr:colOff>428625</xdr:colOff>
      <xdr:row>22</xdr:row>
      <xdr:rowOff>76200</xdr:rowOff>
    </xdr:to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4AF3D254-DAC9-4294-8A3E-261BD8AD5BC5}"/>
            </a:ext>
          </a:extLst>
        </xdr:cNvPr>
        <xdr:cNvSpPr txBox="1"/>
      </xdr:nvSpPr>
      <xdr:spPr>
        <a:xfrm>
          <a:off x="7210425" y="3714750"/>
          <a:ext cx="1905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endParaRPr lang="en-US" sz="105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514351</xdr:colOff>
      <xdr:row>8</xdr:row>
      <xdr:rowOff>19050</xdr:rowOff>
    </xdr:from>
    <xdr:to>
      <xdr:col>9</xdr:col>
      <xdr:colOff>419100</xdr:colOff>
      <xdr:row>9</xdr:row>
      <xdr:rowOff>129778</xdr:rowOff>
    </xdr:to>
    <xdr:sp macro="" textlink="'1. Plano Comercial'!S26">
      <xdr:nvSpPr>
        <xdr:cNvPr id="103" name="CaixaDeTexto 102">
          <a:extLst>
            <a:ext uri="{FF2B5EF4-FFF2-40B4-BE49-F238E27FC236}">
              <a16:creationId xmlns:a16="http://schemas.microsoft.com/office/drawing/2014/main" id="{64C6F861-C262-44A1-9CDD-3837A1C63509}"/>
            </a:ext>
          </a:extLst>
        </xdr:cNvPr>
        <xdr:cNvSpPr txBox="1"/>
      </xdr:nvSpPr>
      <xdr:spPr>
        <a:xfrm>
          <a:off x="4406901" y="1371600"/>
          <a:ext cx="1136649" cy="29487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A1DA023-B786-4803-BCB6-46049F37F636}" type="TxLink">
            <a:rPr lang="en-US" sz="105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R$ 2.232.000</a:t>
          </a:fld>
          <a:endParaRPr lang="pt-BR" sz="5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0</xdr:colOff>
      <xdr:row>8</xdr:row>
      <xdr:rowOff>25400</xdr:rowOff>
    </xdr:from>
    <xdr:to>
      <xdr:col>16</xdr:col>
      <xdr:colOff>57152</xdr:colOff>
      <xdr:row>9</xdr:row>
      <xdr:rowOff>142478</xdr:rowOff>
    </xdr:to>
    <xdr:sp macro="" textlink="'1. Plano Comercial'!#REF!">
      <xdr:nvSpPr>
        <xdr:cNvPr id="104" name="CaixaDeTexto 103">
          <a:extLst>
            <a:ext uri="{FF2B5EF4-FFF2-40B4-BE49-F238E27FC236}">
              <a16:creationId xmlns:a16="http://schemas.microsoft.com/office/drawing/2014/main" id="{06C6D094-0077-424F-BB0B-35CB7C5A31AF}"/>
            </a:ext>
          </a:extLst>
        </xdr:cNvPr>
        <xdr:cNvSpPr txBox="1"/>
      </xdr:nvSpPr>
      <xdr:spPr>
        <a:xfrm>
          <a:off x="7867650" y="1425575"/>
          <a:ext cx="1238252" cy="30757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91C02D3-55F1-4F2A-94EA-AF10745904F1}" type="TxLink">
            <a:rPr lang="en-US" sz="105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R$ 0,00</a:t>
          </a:fld>
          <a:endParaRPr lang="pt-BR" sz="3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285750</xdr:colOff>
      <xdr:row>8</xdr:row>
      <xdr:rowOff>19050</xdr:rowOff>
    </xdr:from>
    <xdr:to>
      <xdr:col>19</xdr:col>
      <xdr:colOff>371475</xdr:colOff>
      <xdr:row>9</xdr:row>
      <xdr:rowOff>123826</xdr:rowOff>
    </xdr:to>
    <xdr:sp macro="" textlink="'1. Plano Comercial'!#REF!">
      <xdr:nvSpPr>
        <xdr:cNvPr id="105" name="CaixaDeTexto 104">
          <a:extLst>
            <a:ext uri="{FF2B5EF4-FFF2-40B4-BE49-F238E27FC236}">
              <a16:creationId xmlns:a16="http://schemas.microsoft.com/office/drawing/2014/main" id="{F65846AF-9D88-4DD9-BF1F-3D9BE2B9E100}"/>
            </a:ext>
          </a:extLst>
        </xdr:cNvPr>
        <xdr:cNvSpPr txBox="1"/>
      </xdr:nvSpPr>
      <xdr:spPr>
        <a:xfrm>
          <a:off x="9925050" y="1419225"/>
          <a:ext cx="1266825" cy="295276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27C77E9-0EB0-47E9-81DF-62F95B8B614A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R$ 0,00</a:t>
          </a:fld>
          <a:endParaRPr lang="pt-BR" sz="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257175</xdr:colOff>
      <xdr:row>22</xdr:row>
      <xdr:rowOff>131763</xdr:rowOff>
    </xdr:from>
    <xdr:to>
      <xdr:col>6</xdr:col>
      <xdr:colOff>48049</xdr:colOff>
      <xdr:row>26</xdr:row>
      <xdr:rowOff>130175</xdr:rowOff>
    </xdr:to>
    <xdr:grpSp>
      <xdr:nvGrpSpPr>
        <xdr:cNvPr id="106" name="Agrupar 105">
          <a:extLst>
            <a:ext uri="{FF2B5EF4-FFF2-40B4-BE49-F238E27FC236}">
              <a16:creationId xmlns:a16="http://schemas.microsoft.com/office/drawing/2014/main" id="{A2F1D3EF-1EF1-4EC2-B938-D82E8D974C82}"/>
            </a:ext>
          </a:extLst>
        </xdr:cNvPr>
        <xdr:cNvGrpSpPr/>
      </xdr:nvGrpSpPr>
      <xdr:grpSpPr>
        <a:xfrm>
          <a:off x="438150" y="4198938"/>
          <a:ext cx="2695999" cy="760412"/>
          <a:chOff x="228600" y="1443036"/>
          <a:chExt cx="2838450" cy="726406"/>
        </a:xfrm>
      </xdr:grpSpPr>
      <xdr:sp macro="" textlink="">
        <xdr:nvSpPr>
          <xdr:cNvPr id="107" name="CaixaDeTexto 106">
            <a:extLst>
              <a:ext uri="{FF2B5EF4-FFF2-40B4-BE49-F238E27FC236}">
                <a16:creationId xmlns:a16="http://schemas.microsoft.com/office/drawing/2014/main" id="{F9B6B081-B03F-47FD-AB1F-DE724339DC1B}"/>
              </a:ext>
            </a:extLst>
          </xdr:cNvPr>
          <xdr:cNvSpPr txBox="1"/>
        </xdr:nvSpPr>
        <xdr:spPr>
          <a:xfrm>
            <a:off x="228600" y="1532201"/>
            <a:ext cx="781050" cy="6372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050" b="1">
                <a:solidFill>
                  <a:sysClr val="windowText" lastClr="000000"/>
                </a:solidFill>
              </a:rPr>
              <a:t>Eficiência Total</a:t>
            </a:r>
          </a:p>
          <a:p>
            <a:pPr algn="ctr"/>
            <a:endParaRPr lang="pt-BR" sz="1050" b="0">
              <a:solidFill>
                <a:sysClr val="windowText" lastClr="000000"/>
              </a:solidFill>
            </a:endParaRPr>
          </a:p>
        </xdr:txBody>
      </xdr:sp>
      <xdr:grpSp>
        <xdr:nvGrpSpPr>
          <xdr:cNvPr id="108" name="Agrupar 107">
            <a:extLst>
              <a:ext uri="{FF2B5EF4-FFF2-40B4-BE49-F238E27FC236}">
                <a16:creationId xmlns:a16="http://schemas.microsoft.com/office/drawing/2014/main" id="{6F24717F-7138-42C2-A124-668BC7214C4B}"/>
              </a:ext>
            </a:extLst>
          </xdr:cNvPr>
          <xdr:cNvGrpSpPr/>
        </xdr:nvGrpSpPr>
        <xdr:grpSpPr>
          <a:xfrm>
            <a:off x="260350" y="1443036"/>
            <a:ext cx="2806700" cy="690543"/>
            <a:chOff x="196850" y="1443036"/>
            <a:chExt cx="2806700" cy="690543"/>
          </a:xfrm>
        </xdr:grpSpPr>
        <xdr:grpSp>
          <xdr:nvGrpSpPr>
            <xdr:cNvPr id="109" name="Agrupar 108">
              <a:extLst>
                <a:ext uri="{FF2B5EF4-FFF2-40B4-BE49-F238E27FC236}">
                  <a16:creationId xmlns:a16="http://schemas.microsoft.com/office/drawing/2014/main" id="{A61A506F-CF45-461B-BC45-F49CC9D123BC}"/>
                </a:ext>
              </a:extLst>
            </xdr:cNvPr>
            <xdr:cNvGrpSpPr/>
          </xdr:nvGrpSpPr>
          <xdr:grpSpPr>
            <a:xfrm>
              <a:off x="196850" y="1443036"/>
              <a:ext cx="2806700" cy="690543"/>
              <a:chOff x="539750" y="989403"/>
              <a:chExt cx="2806700" cy="800630"/>
            </a:xfrm>
          </xdr:grpSpPr>
          <xdr:sp macro="" textlink="">
            <xdr:nvSpPr>
              <xdr:cNvPr id="112" name="Retângulo: Cantos Arredondados 111">
                <a:extLst>
                  <a:ext uri="{FF2B5EF4-FFF2-40B4-BE49-F238E27FC236}">
                    <a16:creationId xmlns:a16="http://schemas.microsoft.com/office/drawing/2014/main" id="{9DA43C3E-CA7A-4973-88B3-981D187B4A22}"/>
                  </a:ext>
                </a:extLst>
              </xdr:cNvPr>
              <xdr:cNvSpPr/>
            </xdr:nvSpPr>
            <xdr:spPr>
              <a:xfrm>
                <a:off x="539750" y="1009650"/>
                <a:ext cx="2806700" cy="780383"/>
              </a:xfrm>
              <a:prstGeom prst="roundRect">
                <a:avLst/>
              </a:prstGeom>
              <a:noFill/>
              <a:ln>
                <a:solidFill>
                  <a:schemeClr val="accent6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>
                  <a:solidFill>
                    <a:schemeClr val="accent4">
                      <a:lumMod val="60000"/>
                      <a:lumOff val="40000"/>
                    </a:schemeClr>
                  </a:solidFill>
                </a:endParaRPr>
              </a:p>
            </xdr:txBody>
          </xdr:sp>
          <xdr:sp macro="" textlink="'1. Plano Comercial'!#REF!">
            <xdr:nvSpPr>
              <xdr:cNvPr id="113" name="CaixaDeTexto 112">
                <a:extLst>
                  <a:ext uri="{FF2B5EF4-FFF2-40B4-BE49-F238E27FC236}">
                    <a16:creationId xmlns:a16="http://schemas.microsoft.com/office/drawing/2014/main" id="{6F0C77FD-9A84-428F-ACF7-065E2139A9AD}"/>
                  </a:ext>
                </a:extLst>
              </xdr:cNvPr>
              <xdr:cNvSpPr txBox="1"/>
            </xdr:nvSpPr>
            <xdr:spPr>
              <a:xfrm>
                <a:off x="2386942" y="1413903"/>
                <a:ext cx="812800" cy="29209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fld id="{37B71871-08C1-407D-B753-61ACF52467D2}" type="TxLink">
                  <a:rPr lang="en-US" sz="1200" b="1" i="0" u="none" strike="noStrike">
                    <a:solidFill>
                      <a:srgbClr val="000000"/>
                    </a:solidFill>
                    <a:latin typeface="Calibri"/>
                    <a:ea typeface="+mn-ea"/>
                    <a:cs typeface="Calibri"/>
                  </a:rPr>
                  <a:pPr marL="0" indent="0" algn="ctr"/>
                  <a:t>40%</a:t>
                </a:fld>
                <a:endParaRPr lang="pt-BR" sz="1200" b="0" i="0" u="none" strike="noStrike">
                  <a:solidFill>
                    <a:sysClr val="windowText" lastClr="000000"/>
                  </a:solidFill>
                  <a:latin typeface="Calibri"/>
                  <a:ea typeface="+mn-ea"/>
                  <a:cs typeface="Calibri"/>
                </a:endParaRPr>
              </a:p>
            </xdr:txBody>
          </xdr:sp>
          <xdr:sp macro="" textlink="">
            <xdr:nvSpPr>
              <xdr:cNvPr id="114" name="CaixaDeTexto 113">
                <a:extLst>
                  <a:ext uri="{FF2B5EF4-FFF2-40B4-BE49-F238E27FC236}">
                    <a16:creationId xmlns:a16="http://schemas.microsoft.com/office/drawing/2014/main" id="{84289607-D924-4A43-BB17-72CE5D913ED5}"/>
                  </a:ext>
                </a:extLst>
              </xdr:cNvPr>
              <xdr:cNvSpPr txBox="1"/>
            </xdr:nvSpPr>
            <xdr:spPr>
              <a:xfrm>
                <a:off x="1279914" y="989403"/>
                <a:ext cx="955857" cy="6241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r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+mn-ea"/>
                    <a:cs typeface="Calibri"/>
                  </a:rPr>
                  <a:t>Tx. Conversão Prospecção</a:t>
                </a:r>
              </a:p>
            </xdr:txBody>
          </xdr:sp>
          <xdr:sp macro="" textlink="">
            <xdr:nvSpPr>
              <xdr:cNvPr id="115" name="CaixaDeTexto 114">
                <a:extLst>
                  <a:ext uri="{FF2B5EF4-FFF2-40B4-BE49-F238E27FC236}">
                    <a16:creationId xmlns:a16="http://schemas.microsoft.com/office/drawing/2014/main" id="{98A4EEBA-7C55-45C7-AE76-1267B6275D15}"/>
                  </a:ext>
                </a:extLst>
              </xdr:cNvPr>
              <xdr:cNvSpPr txBox="1"/>
            </xdr:nvSpPr>
            <xdr:spPr>
              <a:xfrm>
                <a:off x="2241550" y="989403"/>
                <a:ext cx="1058475" cy="47649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r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+mn-ea"/>
                    <a:cs typeface="Calibri"/>
                  </a:rPr>
                  <a:t>Tx. Conversão Pipe da Base</a:t>
                </a:r>
              </a:p>
            </xdr:txBody>
          </xdr:sp>
        </xdr:grpSp>
        <xdr:cxnSp macro="">
          <xdr:nvCxnSpPr>
            <xdr:cNvPr id="110" name="Conector reto 109">
              <a:extLst>
                <a:ext uri="{FF2B5EF4-FFF2-40B4-BE49-F238E27FC236}">
                  <a16:creationId xmlns:a16="http://schemas.microsoft.com/office/drawing/2014/main" id="{7135DF67-3DC0-4D84-9412-99A7FADB3B08}"/>
                </a:ext>
              </a:extLst>
            </xdr:cNvPr>
            <xdr:cNvCxnSpPr/>
          </xdr:nvCxnSpPr>
          <xdr:spPr>
            <a:xfrm flipH="1">
              <a:off x="908050" y="1518415"/>
              <a:ext cx="1" cy="529933"/>
            </a:xfrm>
            <a:prstGeom prst="line">
              <a:avLst/>
            </a:prstGeom>
            <a:ln>
              <a:solidFill>
                <a:schemeClr val="tx1"/>
              </a:solidFill>
              <a:prstDash val="dashDot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11" name="Conector reto 110">
              <a:extLst>
                <a:ext uri="{FF2B5EF4-FFF2-40B4-BE49-F238E27FC236}">
                  <a16:creationId xmlns:a16="http://schemas.microsoft.com/office/drawing/2014/main" id="{8E695F86-FA7B-4428-A4EB-35AB456B6E68}"/>
                </a:ext>
              </a:extLst>
            </xdr:cNvPr>
            <xdr:cNvCxnSpPr/>
          </xdr:nvCxnSpPr>
          <xdr:spPr>
            <a:xfrm flipH="1">
              <a:off x="1930400" y="1492250"/>
              <a:ext cx="1" cy="361950"/>
            </a:xfrm>
            <a:prstGeom prst="line">
              <a:avLst/>
            </a:prstGeom>
            <a:ln>
              <a:solidFill>
                <a:schemeClr val="tx1"/>
              </a:solidFill>
              <a:prstDash val="dashDot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</xdr:col>
      <xdr:colOff>492125</xdr:colOff>
      <xdr:row>24</xdr:row>
      <xdr:rowOff>141288</xdr:rowOff>
    </xdr:from>
    <xdr:to>
      <xdr:col>4</xdr:col>
      <xdr:colOff>96671</xdr:colOff>
      <xdr:row>26</xdr:row>
      <xdr:rowOff>24017</xdr:rowOff>
    </xdr:to>
    <xdr:sp macro="" textlink="'1. Plano Comercial'!S41">
      <xdr:nvSpPr>
        <xdr:cNvPr id="116" name="CaixaDeTexto 115">
          <a:extLst>
            <a:ext uri="{FF2B5EF4-FFF2-40B4-BE49-F238E27FC236}">
              <a16:creationId xmlns:a16="http://schemas.microsoft.com/office/drawing/2014/main" id="{15DD2096-6ED5-4820-A0FB-0C96FDA2AC93}"/>
            </a:ext>
          </a:extLst>
        </xdr:cNvPr>
        <xdr:cNvSpPr txBox="1"/>
      </xdr:nvSpPr>
      <xdr:spPr>
        <a:xfrm>
          <a:off x="1304925" y="4440238"/>
          <a:ext cx="836446" cy="251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DD896A7B-2B2C-4887-909F-3E06C2CF65AB}" type="TxLink">
            <a:rPr lang="en-US" sz="12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14%</a:t>
          </a:fld>
          <a:endParaRPr lang="pt-BR" sz="1200" b="0" i="0" u="none" strike="noStrike">
            <a:solidFill>
              <a:sysClr val="windowText" lastClr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400049</xdr:colOff>
      <xdr:row>15</xdr:row>
      <xdr:rowOff>171450</xdr:rowOff>
    </xdr:from>
    <xdr:to>
      <xdr:col>18</xdr:col>
      <xdr:colOff>180974</xdr:colOff>
      <xdr:row>18</xdr:row>
      <xdr:rowOff>120650</xdr:rowOff>
    </xdr:to>
    <xdr:sp macro="" textlink="">
      <xdr:nvSpPr>
        <xdr:cNvPr id="118" name="Retângulo: Cantos Arredondados 117">
          <a:extLst>
            <a:ext uri="{FF2B5EF4-FFF2-40B4-BE49-F238E27FC236}">
              <a16:creationId xmlns:a16="http://schemas.microsoft.com/office/drawing/2014/main" id="{118E5A3B-C435-4F1D-92BC-31A606B0CCB5}"/>
            </a:ext>
          </a:extLst>
        </xdr:cNvPr>
        <xdr:cNvSpPr/>
      </xdr:nvSpPr>
      <xdr:spPr>
        <a:xfrm>
          <a:off x="8267699" y="2905125"/>
          <a:ext cx="2143125" cy="520700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14</xdr:col>
      <xdr:colOff>133348</xdr:colOff>
      <xdr:row>11</xdr:row>
      <xdr:rowOff>133350</xdr:rowOff>
    </xdr:from>
    <xdr:to>
      <xdr:col>18</xdr:col>
      <xdr:colOff>380999</xdr:colOff>
      <xdr:row>14</xdr:row>
      <xdr:rowOff>82550</xdr:rowOff>
    </xdr:to>
    <xdr:grpSp>
      <xdr:nvGrpSpPr>
        <xdr:cNvPr id="120" name="Agrupar 119">
          <a:extLst>
            <a:ext uri="{FF2B5EF4-FFF2-40B4-BE49-F238E27FC236}">
              <a16:creationId xmlns:a16="http://schemas.microsoft.com/office/drawing/2014/main" id="{9A4BC28E-B6F6-4612-8C3C-5A3FF41C2A53}"/>
            </a:ext>
          </a:extLst>
        </xdr:cNvPr>
        <xdr:cNvGrpSpPr/>
      </xdr:nvGrpSpPr>
      <xdr:grpSpPr>
        <a:xfrm>
          <a:off x="7867648" y="2105025"/>
          <a:ext cx="2571751" cy="520700"/>
          <a:chOff x="1695450" y="1009650"/>
          <a:chExt cx="1905000" cy="508000"/>
        </a:xfrm>
        <a:solidFill>
          <a:schemeClr val="accent2">
            <a:lumMod val="50000"/>
          </a:schemeClr>
        </a:solidFill>
      </xdr:grpSpPr>
      <xdr:sp macro="" textlink="">
        <xdr:nvSpPr>
          <xdr:cNvPr id="121" name="Retângulo: Cantos Arredondados 120">
            <a:extLst>
              <a:ext uri="{FF2B5EF4-FFF2-40B4-BE49-F238E27FC236}">
                <a16:creationId xmlns:a16="http://schemas.microsoft.com/office/drawing/2014/main" id="{35A7F735-3FD7-44DD-8BAA-ECC5E99F31B2}"/>
              </a:ext>
            </a:extLst>
          </xdr:cNvPr>
          <xdr:cNvSpPr/>
        </xdr:nvSpPr>
        <xdr:spPr>
          <a:xfrm>
            <a:off x="1695450" y="1009650"/>
            <a:ext cx="1905000" cy="508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4">
                  <a:lumMod val="60000"/>
                  <a:lumOff val="40000"/>
                </a:schemeClr>
              </a:solidFill>
            </a:endParaRPr>
          </a:p>
        </xdr:txBody>
      </xdr:sp>
      <xdr:sp macro="" textlink="'1. Plano Comercial'!#REF!">
        <xdr:nvSpPr>
          <xdr:cNvPr id="122" name="CaixaDeTexto 121">
            <a:extLst>
              <a:ext uri="{FF2B5EF4-FFF2-40B4-BE49-F238E27FC236}">
                <a16:creationId xmlns:a16="http://schemas.microsoft.com/office/drawing/2014/main" id="{10F84659-10E4-4CA3-A433-A26C96A52198}"/>
              </a:ext>
            </a:extLst>
          </xdr:cNvPr>
          <xdr:cNvSpPr txBox="1"/>
        </xdr:nvSpPr>
        <xdr:spPr>
          <a:xfrm>
            <a:off x="2241550" y="1117600"/>
            <a:ext cx="812800" cy="2921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462256D-CE64-4341-8818-4276966F6EAB}" type="TxLink">
              <a:rPr lang="en-US" sz="11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R$ 0,00</a:t>
            </a:fld>
            <a:endParaRPr lang="pt-BR" sz="900" b="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14</xdr:col>
      <xdr:colOff>381000</xdr:colOff>
      <xdr:row>14</xdr:row>
      <xdr:rowOff>117475</xdr:rowOff>
    </xdr:from>
    <xdr:to>
      <xdr:col>18</xdr:col>
      <xdr:colOff>228600</xdr:colOff>
      <xdr:row>16</xdr:row>
      <xdr:rowOff>34925</xdr:rowOff>
    </xdr:to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F7CD09DE-9EC1-40BF-A47D-B65EC3B69B40}"/>
            </a:ext>
          </a:extLst>
        </xdr:cNvPr>
        <xdr:cNvSpPr txBox="1"/>
      </xdr:nvSpPr>
      <xdr:spPr>
        <a:xfrm>
          <a:off x="8248650" y="2660650"/>
          <a:ext cx="220980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Pipeline (em R$) necessário por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dia</a:t>
          </a:r>
          <a:endParaRPr lang="pt-BR" sz="1000">
            <a:effectLst/>
          </a:endParaRPr>
        </a:p>
      </xdr:txBody>
    </xdr:sp>
    <xdr:clientData/>
  </xdr:twoCellAnchor>
  <xdr:twoCellAnchor>
    <xdr:from>
      <xdr:col>14</xdr:col>
      <xdr:colOff>228600</xdr:colOff>
      <xdr:row>10</xdr:row>
      <xdr:rowOff>69850</xdr:rowOff>
    </xdr:from>
    <xdr:to>
      <xdr:col>18</xdr:col>
      <xdr:colOff>209550</xdr:colOff>
      <xdr:row>11</xdr:row>
      <xdr:rowOff>177800</xdr:rowOff>
    </xdr:to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7A960817-819B-4FA7-8E8E-24BA0FB2421C}"/>
            </a:ext>
          </a:extLst>
        </xdr:cNvPr>
        <xdr:cNvSpPr txBox="1"/>
      </xdr:nvSpPr>
      <xdr:spPr>
        <a:xfrm>
          <a:off x="8096250" y="1851025"/>
          <a:ext cx="23431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ysClr val="windowText" lastClr="000000"/>
              </a:solidFill>
            </a:rPr>
            <a:t>Pipeline (em R$) </a:t>
          </a:r>
          <a:r>
            <a:rPr lang="pt-BR" sz="1200" b="0">
              <a:solidFill>
                <a:sysClr val="windowText" lastClr="000000"/>
              </a:solidFill>
            </a:rPr>
            <a:t>necessário</a:t>
          </a:r>
          <a:r>
            <a:rPr lang="pt-BR" sz="1100" b="0">
              <a:solidFill>
                <a:sysClr val="windowText" lastClr="000000"/>
              </a:solidFill>
            </a:rPr>
            <a:t> no mês</a:t>
          </a:r>
        </a:p>
      </xdr:txBody>
    </xdr:sp>
    <xdr:clientData/>
  </xdr:twoCellAnchor>
  <xdr:twoCellAnchor>
    <xdr:from>
      <xdr:col>15</xdr:col>
      <xdr:colOff>323848</xdr:colOff>
      <xdr:row>16</xdr:row>
      <xdr:rowOff>114300</xdr:rowOff>
    </xdr:from>
    <xdr:to>
      <xdr:col>17</xdr:col>
      <xdr:colOff>256284</xdr:colOff>
      <xdr:row>18</xdr:row>
      <xdr:rowOff>32703</xdr:rowOff>
    </xdr:to>
    <xdr:sp macro="" textlink="'1. Plano Comercial'!#REF!">
      <xdr:nvSpPr>
        <xdr:cNvPr id="128" name="CaixaDeTexto 127">
          <a:extLst>
            <a:ext uri="{FF2B5EF4-FFF2-40B4-BE49-F238E27FC236}">
              <a16:creationId xmlns:a16="http://schemas.microsoft.com/office/drawing/2014/main" id="{9977FE5E-BB75-4F89-8A92-B0435CB48DB7}"/>
            </a:ext>
          </a:extLst>
        </xdr:cNvPr>
        <xdr:cNvSpPr txBox="1"/>
      </xdr:nvSpPr>
      <xdr:spPr>
        <a:xfrm>
          <a:off x="8782048" y="3038475"/>
          <a:ext cx="1113536" cy="299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2C8975E-29B5-4479-8671-01042B1D1234}" type="TxLink">
            <a:rPr lang="en-US" sz="12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R$ 0,00</a:t>
          </a:fld>
          <a:endParaRPr lang="pt-BR" sz="900" b="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292100</xdr:colOff>
      <xdr:row>19</xdr:row>
      <xdr:rowOff>122239</xdr:rowOff>
    </xdr:from>
    <xdr:to>
      <xdr:col>5</xdr:col>
      <xdr:colOff>487196</xdr:colOff>
      <xdr:row>21</xdr:row>
      <xdr:rowOff>4969</xdr:rowOff>
    </xdr:to>
    <xdr:sp macro="" textlink="'1. Plano Comercial'!#REF!">
      <xdr:nvSpPr>
        <xdr:cNvPr id="124" name="CaixaDeTexto 123">
          <a:extLst>
            <a:ext uri="{FF2B5EF4-FFF2-40B4-BE49-F238E27FC236}">
              <a16:creationId xmlns:a16="http://schemas.microsoft.com/office/drawing/2014/main" id="{CAC2E206-263D-43A8-8BAC-6FDBA9CFBA95}"/>
            </a:ext>
          </a:extLst>
        </xdr:cNvPr>
        <xdr:cNvSpPr txBox="1"/>
      </xdr:nvSpPr>
      <xdr:spPr>
        <a:xfrm>
          <a:off x="2254250" y="3617914"/>
          <a:ext cx="785646" cy="263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BEF294E-0A29-412E-8B11-C5B76BB9B1F9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30</a:t>
          </a:fld>
          <a:endParaRPr lang="pt-BR" sz="1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18</xdr:col>
      <xdr:colOff>409577</xdr:colOff>
      <xdr:row>5</xdr:row>
      <xdr:rowOff>38100</xdr:rowOff>
    </xdr:from>
    <xdr:to>
      <xdr:col>19</xdr:col>
      <xdr:colOff>387352</xdr:colOff>
      <xdr:row>6</xdr:row>
      <xdr:rowOff>152400</xdr:rowOff>
    </xdr:to>
    <xdr:sp macro="" textlink="'1. Plano Comercial'!D34">
      <xdr:nvSpPr>
        <xdr:cNvPr id="123" name="CaixaDeTexto 122">
          <a:extLst>
            <a:ext uri="{FF2B5EF4-FFF2-40B4-BE49-F238E27FC236}">
              <a16:creationId xmlns:a16="http://schemas.microsoft.com/office/drawing/2014/main" id="{80162F7B-FEAB-4FED-B5CC-C50C6765D83B}"/>
            </a:ext>
          </a:extLst>
        </xdr:cNvPr>
        <xdr:cNvSpPr txBox="1"/>
      </xdr:nvSpPr>
      <xdr:spPr>
        <a:xfrm>
          <a:off x="10639427" y="866775"/>
          <a:ext cx="5683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CE83127-D802-4DE1-BA87-A38C7355E99D}" type="TxLink">
            <a:rPr lang="en-US" sz="1200" b="1" i="0" u="none" strike="noStrike">
              <a:solidFill>
                <a:srgbClr val="FFFFFF"/>
              </a:solidFill>
              <a:latin typeface="Calibri"/>
              <a:cs typeface="Calibri"/>
            </a:rPr>
            <a:pPr algn="ctr"/>
            <a:t>R$ 26.784.000</a:t>
          </a:fld>
          <a:endParaRPr lang="pt-BR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78442</xdr:colOff>
      <xdr:row>2</xdr:row>
      <xdr:rowOff>34102</xdr:rowOff>
    </xdr:from>
    <xdr:to>
      <xdr:col>1</xdr:col>
      <xdr:colOff>412392</xdr:colOff>
      <xdr:row>2</xdr:row>
      <xdr:rowOff>161602</xdr:rowOff>
    </xdr:to>
    <xdr:sp macro="" textlink="">
      <xdr:nvSpPr>
        <xdr:cNvPr id="22" name="Retângulo 1">
          <a:extLst>
            <a:ext uri="{FF2B5EF4-FFF2-40B4-BE49-F238E27FC236}">
              <a16:creationId xmlns:a16="http://schemas.microsoft.com/office/drawing/2014/main" id="{296AEA1B-3AB3-4C54-8235-99EC719823EC}"/>
            </a:ext>
          </a:extLst>
        </xdr:cNvPr>
        <xdr:cNvSpPr/>
      </xdr:nvSpPr>
      <xdr:spPr>
        <a:xfrm>
          <a:off x="691355" y="423385"/>
          <a:ext cx="333950" cy="1275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78442</xdr:colOff>
      <xdr:row>3</xdr:row>
      <xdr:rowOff>27752</xdr:rowOff>
    </xdr:from>
    <xdr:to>
      <xdr:col>1</xdr:col>
      <xdr:colOff>412392</xdr:colOff>
      <xdr:row>3</xdr:row>
      <xdr:rowOff>161602</xdr:rowOff>
    </xdr:to>
    <xdr:sp macro="" textlink="">
      <xdr:nvSpPr>
        <xdr:cNvPr id="21" name="Retângulo 2">
          <a:extLst>
            <a:ext uri="{FF2B5EF4-FFF2-40B4-BE49-F238E27FC236}">
              <a16:creationId xmlns:a16="http://schemas.microsoft.com/office/drawing/2014/main" id="{BCBCDA75-9D15-491A-8E0D-6C74BD08526C}"/>
            </a:ext>
          </a:extLst>
        </xdr:cNvPr>
        <xdr:cNvSpPr/>
      </xdr:nvSpPr>
      <xdr:spPr>
        <a:xfrm>
          <a:off x="691355" y="615817"/>
          <a:ext cx="333950" cy="1338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78442</xdr:colOff>
      <xdr:row>4</xdr:row>
      <xdr:rowOff>27752</xdr:rowOff>
    </xdr:from>
    <xdr:to>
      <xdr:col>1</xdr:col>
      <xdr:colOff>412392</xdr:colOff>
      <xdr:row>4</xdr:row>
      <xdr:rowOff>161602</xdr:rowOff>
    </xdr:to>
    <xdr:sp macro="" textlink="">
      <xdr:nvSpPr>
        <xdr:cNvPr id="20" name="Retângulo 3">
          <a:extLst>
            <a:ext uri="{FF2B5EF4-FFF2-40B4-BE49-F238E27FC236}">
              <a16:creationId xmlns:a16="http://schemas.microsoft.com/office/drawing/2014/main" id="{758706D3-DFA3-4623-812A-5F3E5A5262DA}"/>
            </a:ext>
          </a:extLst>
        </xdr:cNvPr>
        <xdr:cNvSpPr/>
      </xdr:nvSpPr>
      <xdr:spPr>
        <a:xfrm>
          <a:off x="691355" y="814600"/>
          <a:ext cx="333950" cy="133850"/>
        </a:xfrm>
        <a:prstGeom prst="rect">
          <a:avLst/>
        </a:prstGeom>
        <a:solidFill>
          <a:schemeClr val="accent6">
            <a:lumMod val="5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40646</xdr:colOff>
      <xdr:row>12</xdr:row>
      <xdr:rowOff>76964</xdr:rowOff>
    </xdr:from>
    <xdr:to>
      <xdr:col>10</xdr:col>
      <xdr:colOff>357772</xdr:colOff>
      <xdr:row>12</xdr:row>
      <xdr:rowOff>469628</xdr:rowOff>
    </xdr:to>
    <xdr:sp macro="" textlink="">
      <xdr:nvSpPr>
        <xdr:cNvPr id="6" name="Seta: para Baixo 1">
          <a:extLst>
            <a:ext uri="{FF2B5EF4-FFF2-40B4-BE49-F238E27FC236}">
              <a16:creationId xmlns:a16="http://schemas.microsoft.com/office/drawing/2014/main" id="{E54334E0-0B83-4281-8D61-37C89AE6F2D0}"/>
            </a:ext>
          </a:extLst>
        </xdr:cNvPr>
        <xdr:cNvSpPr/>
      </xdr:nvSpPr>
      <xdr:spPr>
        <a:xfrm>
          <a:off x="11055010" y="2466873"/>
          <a:ext cx="317126" cy="392664"/>
        </a:xfrm>
        <a:prstGeom prst="down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78442</xdr:colOff>
      <xdr:row>2</xdr:row>
      <xdr:rowOff>34102</xdr:rowOff>
    </xdr:from>
    <xdr:to>
      <xdr:col>1</xdr:col>
      <xdr:colOff>412392</xdr:colOff>
      <xdr:row>2</xdr:row>
      <xdr:rowOff>161602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98972DF-DE1D-4BD9-B5F4-6E84A1F76210}"/>
            </a:ext>
            <a:ext uri="{147F2762-F138-4A5C-976F-8EAC2B608ADB}">
              <a16:predDERef xmlns:a16="http://schemas.microsoft.com/office/drawing/2014/main" pred="{E54334E0-0B83-4281-8D61-37C89AE6F2D0}"/>
            </a:ext>
          </a:extLst>
        </xdr:cNvPr>
        <xdr:cNvSpPr/>
      </xdr:nvSpPr>
      <xdr:spPr>
        <a:xfrm>
          <a:off x="659467" y="415102"/>
          <a:ext cx="333950" cy="1275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78442</xdr:colOff>
      <xdr:row>3</xdr:row>
      <xdr:rowOff>27752</xdr:rowOff>
    </xdr:from>
    <xdr:to>
      <xdr:col>1</xdr:col>
      <xdr:colOff>412392</xdr:colOff>
      <xdr:row>3</xdr:row>
      <xdr:rowOff>161602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5404F37-3C5E-484B-A1FA-B4AEEE09C74C}"/>
            </a:ext>
            <a:ext uri="{147F2762-F138-4A5C-976F-8EAC2B608ADB}">
              <a16:predDERef xmlns:a16="http://schemas.microsoft.com/office/drawing/2014/main" pred="{498972DF-DE1D-4BD9-B5F4-6E84A1F76210}"/>
            </a:ext>
          </a:extLst>
        </xdr:cNvPr>
        <xdr:cNvSpPr/>
      </xdr:nvSpPr>
      <xdr:spPr>
        <a:xfrm>
          <a:off x="659467" y="608777"/>
          <a:ext cx="333950" cy="1338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78442</xdr:colOff>
      <xdr:row>4</xdr:row>
      <xdr:rowOff>27752</xdr:rowOff>
    </xdr:from>
    <xdr:to>
      <xdr:col>1</xdr:col>
      <xdr:colOff>412392</xdr:colOff>
      <xdr:row>4</xdr:row>
      <xdr:rowOff>161602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0155A2F-07E5-4E32-951B-A55A6035E18F}"/>
            </a:ext>
            <a:ext uri="{147F2762-F138-4A5C-976F-8EAC2B608ADB}">
              <a16:predDERef xmlns:a16="http://schemas.microsoft.com/office/drawing/2014/main" pred="{85404F37-3C5E-484B-A1FA-B4AEEE09C74C}"/>
            </a:ext>
          </a:extLst>
        </xdr:cNvPr>
        <xdr:cNvSpPr/>
      </xdr:nvSpPr>
      <xdr:spPr>
        <a:xfrm>
          <a:off x="659467" y="808802"/>
          <a:ext cx="333950" cy="133850"/>
        </a:xfrm>
        <a:prstGeom prst="rect">
          <a:avLst/>
        </a:prstGeom>
        <a:solidFill>
          <a:schemeClr val="accent6">
            <a:lumMod val="5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87819</xdr:colOff>
      <xdr:row>12</xdr:row>
      <xdr:rowOff>39688</xdr:rowOff>
    </xdr:from>
    <xdr:to>
      <xdr:col>4</xdr:col>
      <xdr:colOff>571500</xdr:colOff>
      <xdr:row>12</xdr:row>
      <xdr:rowOff>462641</xdr:rowOff>
    </xdr:to>
    <xdr:sp macro="" textlink="">
      <xdr:nvSpPr>
        <xdr:cNvPr id="19" name="Seta: para Baixo 1">
          <a:extLst>
            <a:ext uri="{FF2B5EF4-FFF2-40B4-BE49-F238E27FC236}">
              <a16:creationId xmlns:a16="http://schemas.microsoft.com/office/drawing/2014/main" id="{264708A6-3FC9-4496-8CAD-F6438B1F8FF6}"/>
            </a:ext>
          </a:extLst>
        </xdr:cNvPr>
        <xdr:cNvSpPr/>
      </xdr:nvSpPr>
      <xdr:spPr>
        <a:xfrm rot="5400000">
          <a:off x="3919112" y="2386038"/>
          <a:ext cx="422953" cy="483681"/>
        </a:xfrm>
        <a:prstGeom prst="downArrow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85767</xdr:colOff>
      <xdr:row>26</xdr:row>
      <xdr:rowOff>826</xdr:rowOff>
    </xdr:from>
    <xdr:to>
      <xdr:col>9</xdr:col>
      <xdr:colOff>565729</xdr:colOff>
      <xdr:row>26</xdr:row>
      <xdr:rowOff>173182</xdr:rowOff>
    </xdr:to>
    <xdr:sp macro="" textlink="">
      <xdr:nvSpPr>
        <xdr:cNvPr id="11" name="Seta: para Baixo 1">
          <a:extLst>
            <a:ext uri="{FF2B5EF4-FFF2-40B4-BE49-F238E27FC236}">
              <a16:creationId xmlns:a16="http://schemas.microsoft.com/office/drawing/2014/main" id="{4F1DB0DD-EA53-EB04-E687-81454F58EBFD}"/>
            </a:ext>
          </a:extLst>
        </xdr:cNvPr>
        <xdr:cNvSpPr/>
      </xdr:nvSpPr>
      <xdr:spPr>
        <a:xfrm rot="16200000">
          <a:off x="10642025" y="5608205"/>
          <a:ext cx="172356" cy="479962"/>
        </a:xfrm>
        <a:prstGeom prst="downArrow">
          <a:avLst>
            <a:gd name="adj1" fmla="val 50000"/>
            <a:gd name="adj2" fmla="val 52698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76529</xdr:colOff>
      <xdr:row>14</xdr:row>
      <xdr:rowOff>14681</xdr:rowOff>
    </xdr:from>
    <xdr:to>
      <xdr:col>9</xdr:col>
      <xdr:colOff>556491</xdr:colOff>
      <xdr:row>15</xdr:row>
      <xdr:rowOff>2310</xdr:rowOff>
    </xdr:to>
    <xdr:sp macro="" textlink="">
      <xdr:nvSpPr>
        <xdr:cNvPr id="8" name="Seta: para Baixo 1">
          <a:extLst>
            <a:ext uri="{FF2B5EF4-FFF2-40B4-BE49-F238E27FC236}">
              <a16:creationId xmlns:a16="http://schemas.microsoft.com/office/drawing/2014/main" id="{167C9332-A9D3-40EF-829D-24CCECAD414F}"/>
            </a:ext>
          </a:extLst>
        </xdr:cNvPr>
        <xdr:cNvSpPr/>
      </xdr:nvSpPr>
      <xdr:spPr>
        <a:xfrm rot="16200000">
          <a:off x="10632787" y="3162878"/>
          <a:ext cx="172356" cy="479962"/>
        </a:xfrm>
        <a:prstGeom prst="downArrow">
          <a:avLst>
            <a:gd name="adj1" fmla="val 50000"/>
            <a:gd name="adj2" fmla="val 52698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69273</xdr:colOff>
      <xdr:row>38</xdr:row>
      <xdr:rowOff>23091</xdr:rowOff>
    </xdr:from>
    <xdr:to>
      <xdr:col>9</xdr:col>
      <xdr:colOff>549235</xdr:colOff>
      <xdr:row>39</xdr:row>
      <xdr:rowOff>10720</xdr:rowOff>
    </xdr:to>
    <xdr:sp macro="" textlink="">
      <xdr:nvSpPr>
        <xdr:cNvPr id="9" name="Seta: para Baixo 1">
          <a:extLst>
            <a:ext uri="{FF2B5EF4-FFF2-40B4-BE49-F238E27FC236}">
              <a16:creationId xmlns:a16="http://schemas.microsoft.com/office/drawing/2014/main" id="{F4C207FE-E30D-4547-8CC8-F2EA33BF8424}"/>
            </a:ext>
          </a:extLst>
        </xdr:cNvPr>
        <xdr:cNvSpPr/>
      </xdr:nvSpPr>
      <xdr:spPr>
        <a:xfrm rot="16200000">
          <a:off x="10625531" y="7847197"/>
          <a:ext cx="172356" cy="479962"/>
        </a:xfrm>
        <a:prstGeom prst="downArrow">
          <a:avLst>
            <a:gd name="adj1" fmla="val 50000"/>
            <a:gd name="adj2" fmla="val 52698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69273</xdr:colOff>
      <xdr:row>50</xdr:row>
      <xdr:rowOff>11547</xdr:rowOff>
    </xdr:from>
    <xdr:to>
      <xdr:col>9</xdr:col>
      <xdr:colOff>549235</xdr:colOff>
      <xdr:row>50</xdr:row>
      <xdr:rowOff>183903</xdr:rowOff>
    </xdr:to>
    <xdr:sp macro="" textlink="">
      <xdr:nvSpPr>
        <xdr:cNvPr id="10" name="Seta: para Baixo 1">
          <a:extLst>
            <a:ext uri="{FF2B5EF4-FFF2-40B4-BE49-F238E27FC236}">
              <a16:creationId xmlns:a16="http://schemas.microsoft.com/office/drawing/2014/main" id="{E7ED4A8B-ABA5-4088-83ED-8AB653AD1ECF}"/>
            </a:ext>
          </a:extLst>
        </xdr:cNvPr>
        <xdr:cNvSpPr/>
      </xdr:nvSpPr>
      <xdr:spPr>
        <a:xfrm rot="16200000">
          <a:off x="10625531" y="10052380"/>
          <a:ext cx="172356" cy="479962"/>
        </a:xfrm>
        <a:prstGeom prst="downArrow">
          <a:avLst>
            <a:gd name="adj1" fmla="val 50000"/>
            <a:gd name="adj2" fmla="val 52698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46181</xdr:colOff>
      <xdr:row>62</xdr:row>
      <xdr:rowOff>-1</xdr:rowOff>
    </xdr:from>
    <xdr:to>
      <xdr:col>9</xdr:col>
      <xdr:colOff>526143</xdr:colOff>
      <xdr:row>62</xdr:row>
      <xdr:rowOff>172355</xdr:rowOff>
    </xdr:to>
    <xdr:sp macro="" textlink="">
      <xdr:nvSpPr>
        <xdr:cNvPr id="12" name="Seta: para Baixo 1">
          <a:extLst>
            <a:ext uri="{FF2B5EF4-FFF2-40B4-BE49-F238E27FC236}">
              <a16:creationId xmlns:a16="http://schemas.microsoft.com/office/drawing/2014/main" id="{F3CBC2E0-0963-4A4E-90BA-12C86F5D4743}"/>
            </a:ext>
          </a:extLst>
        </xdr:cNvPr>
        <xdr:cNvSpPr/>
      </xdr:nvSpPr>
      <xdr:spPr>
        <a:xfrm rot="16200000">
          <a:off x="10602439" y="12257560"/>
          <a:ext cx="172356" cy="479962"/>
        </a:xfrm>
        <a:prstGeom prst="downArrow">
          <a:avLst>
            <a:gd name="adj1" fmla="val 50000"/>
            <a:gd name="adj2" fmla="val 52698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pcorretora-my.sharepoint.com/personal/gustavo_pecoraro_xpi_com_br/Documents/&#193;rea%20de%20Trabalho/Material%20Lideran&#231;as/Onboarding%20Lideran&#231;as/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hament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A9A3-C292-4393-9440-BFE0A0A2A94E}">
  <sheetPr>
    <tabColor theme="1" tint="4.9989318521683403E-2"/>
  </sheetPr>
  <dimension ref="A5:AI83"/>
  <sheetViews>
    <sheetView showGridLines="0" zoomScale="70" zoomScaleNormal="70" workbookViewId="0"/>
  </sheetViews>
  <sheetFormatPr defaultRowHeight="15" x14ac:dyDescent="0.25"/>
  <cols>
    <col min="1" max="1" width="0.7109375" customWidth="1"/>
  </cols>
  <sheetData>
    <row r="5" spans="1:21" s="9" customFormat="1" ht="13.5" customHeight="1" x14ac:dyDescent="0.25">
      <c r="A5" s="326"/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</row>
    <row r="8" spans="1:21" ht="15.75" thickBot="1" x14ac:dyDescent="0.3">
      <c r="C8" s="8"/>
    </row>
    <row r="9" spans="1:21" x14ac:dyDescent="0.25">
      <c r="C9" s="10">
        <v>1</v>
      </c>
      <c r="D9" s="308"/>
      <c r="E9" s="309"/>
      <c r="F9" s="309"/>
      <c r="G9" s="310"/>
      <c r="J9" s="10">
        <v>2</v>
      </c>
      <c r="K9" s="308"/>
      <c r="L9" s="309"/>
      <c r="M9" s="309"/>
      <c r="N9" s="310"/>
      <c r="Q9" s="10">
        <v>3</v>
      </c>
      <c r="R9" s="308"/>
      <c r="S9" s="309"/>
      <c r="T9" s="309"/>
      <c r="U9" s="310"/>
    </row>
    <row r="10" spans="1:21" x14ac:dyDescent="0.25">
      <c r="D10" s="311"/>
      <c r="E10" s="312"/>
      <c r="F10" s="312"/>
      <c r="G10" s="313"/>
      <c r="K10" s="311"/>
      <c r="L10" s="312"/>
      <c r="M10" s="312"/>
      <c r="N10" s="313"/>
      <c r="R10" s="311"/>
      <c r="S10" s="312"/>
      <c r="T10" s="312"/>
      <c r="U10" s="313"/>
    </row>
    <row r="11" spans="1:21" x14ac:dyDescent="0.25">
      <c r="D11" s="311"/>
      <c r="E11" s="312"/>
      <c r="F11" s="312"/>
      <c r="G11" s="313"/>
      <c r="K11" s="311"/>
      <c r="L11" s="312"/>
      <c r="M11" s="312"/>
      <c r="N11" s="313"/>
      <c r="R11" s="311"/>
      <c r="S11" s="312"/>
      <c r="T11" s="312"/>
      <c r="U11" s="313"/>
    </row>
    <row r="12" spans="1:21" x14ac:dyDescent="0.25">
      <c r="D12" s="311"/>
      <c r="E12" s="312"/>
      <c r="F12" s="312"/>
      <c r="G12" s="313"/>
      <c r="K12" s="311"/>
      <c r="L12" s="312"/>
      <c r="M12" s="312"/>
      <c r="N12" s="313"/>
      <c r="R12" s="311"/>
      <c r="S12" s="312"/>
      <c r="T12" s="312"/>
      <c r="U12" s="313"/>
    </row>
    <row r="13" spans="1:21" ht="15.75" thickBot="1" x14ac:dyDescent="0.3">
      <c r="D13" s="314"/>
      <c r="E13" s="315"/>
      <c r="F13" s="315"/>
      <c r="G13" s="316"/>
      <c r="K13" s="314"/>
      <c r="L13" s="315"/>
      <c r="M13" s="315"/>
      <c r="N13" s="316"/>
      <c r="R13" s="314"/>
      <c r="S13" s="315"/>
      <c r="T13" s="315"/>
      <c r="U13" s="316"/>
    </row>
    <row r="16" spans="1:21" ht="15.75" thickBot="1" x14ac:dyDescent="0.3"/>
    <row r="17" spans="3:26" x14ac:dyDescent="0.25">
      <c r="W17" s="327" t="s">
        <v>0</v>
      </c>
      <c r="X17" s="328"/>
      <c r="Y17" s="328"/>
      <c r="Z17" s="329"/>
    </row>
    <row r="18" spans="3:26" x14ac:dyDescent="0.25">
      <c r="W18" s="330"/>
      <c r="X18" s="331"/>
      <c r="Y18" s="331"/>
      <c r="Z18" s="332"/>
    </row>
    <row r="19" spans="3:26" x14ac:dyDescent="0.25">
      <c r="W19" s="330"/>
      <c r="X19" s="331"/>
      <c r="Y19" s="331"/>
      <c r="Z19" s="332"/>
    </row>
    <row r="20" spans="3:26" ht="15.75" thickBot="1" x14ac:dyDescent="0.3">
      <c r="W20" s="333"/>
      <c r="X20" s="334"/>
      <c r="Y20" s="334"/>
      <c r="Z20" s="335"/>
    </row>
    <row r="22" spans="3:26" ht="15.75" thickBot="1" x14ac:dyDescent="0.3"/>
    <row r="23" spans="3:26" x14ac:dyDescent="0.25">
      <c r="D23" s="308"/>
      <c r="E23" s="309"/>
      <c r="F23" s="309"/>
      <c r="G23" s="310"/>
      <c r="K23" s="308"/>
      <c r="L23" s="309"/>
      <c r="M23" s="309"/>
      <c r="N23" s="310"/>
      <c r="R23" s="308"/>
      <c r="S23" s="309"/>
      <c r="T23" s="309"/>
      <c r="U23" s="310"/>
    </row>
    <row r="24" spans="3:26" x14ac:dyDescent="0.25">
      <c r="D24" s="311"/>
      <c r="E24" s="312"/>
      <c r="F24" s="312"/>
      <c r="G24" s="313"/>
      <c r="K24" s="311"/>
      <c r="L24" s="312"/>
      <c r="M24" s="312"/>
      <c r="N24" s="313"/>
      <c r="R24" s="311"/>
      <c r="S24" s="312"/>
      <c r="T24" s="312"/>
      <c r="U24" s="313"/>
    </row>
    <row r="25" spans="3:26" x14ac:dyDescent="0.25">
      <c r="D25" s="311"/>
      <c r="E25" s="312"/>
      <c r="F25" s="312"/>
      <c r="G25" s="313"/>
      <c r="K25" s="311"/>
      <c r="L25" s="312"/>
      <c r="M25" s="312"/>
      <c r="N25" s="313"/>
      <c r="R25" s="311"/>
      <c r="S25" s="312"/>
      <c r="T25" s="312"/>
      <c r="U25" s="313"/>
    </row>
    <row r="26" spans="3:26" x14ac:dyDescent="0.25">
      <c r="D26" s="311"/>
      <c r="E26" s="312"/>
      <c r="F26" s="312"/>
      <c r="G26" s="313"/>
      <c r="K26" s="311"/>
      <c r="L26" s="312"/>
      <c r="M26" s="312"/>
      <c r="N26" s="313"/>
      <c r="R26" s="311"/>
      <c r="S26" s="312"/>
      <c r="T26" s="312"/>
      <c r="U26" s="313"/>
    </row>
    <row r="27" spans="3:26" x14ac:dyDescent="0.25">
      <c r="D27" s="311"/>
      <c r="E27" s="312"/>
      <c r="F27" s="312"/>
      <c r="G27" s="313"/>
      <c r="K27" s="311"/>
      <c r="L27" s="312"/>
      <c r="M27" s="312"/>
      <c r="N27" s="313"/>
      <c r="R27" s="311"/>
      <c r="S27" s="312"/>
      <c r="T27" s="312"/>
      <c r="U27" s="313"/>
    </row>
    <row r="28" spans="3:26" ht="15.75" thickBot="1" x14ac:dyDescent="0.3">
      <c r="C28" s="10">
        <v>4</v>
      </c>
      <c r="D28" s="314"/>
      <c r="E28" s="315"/>
      <c r="F28" s="315"/>
      <c r="G28" s="316"/>
      <c r="J28" s="10">
        <v>5</v>
      </c>
      <c r="K28" s="314"/>
      <c r="L28" s="315"/>
      <c r="M28" s="315"/>
      <c r="N28" s="316"/>
      <c r="Q28" s="10">
        <v>6</v>
      </c>
      <c r="R28" s="314"/>
      <c r="S28" s="315"/>
      <c r="T28" s="315"/>
      <c r="U28" s="316"/>
    </row>
    <row r="36" spans="3:35" s="9" customFormat="1" x14ac:dyDescent="0.25"/>
    <row r="37" spans="3:35" ht="15" customHeight="1" x14ac:dyDescent="0.25"/>
    <row r="38" spans="3:35" ht="15" customHeight="1" thickBot="1" x14ac:dyDescent="0.3"/>
    <row r="39" spans="3:35" ht="15" customHeight="1" x14ac:dyDescent="0.25">
      <c r="C39" s="10">
        <v>1</v>
      </c>
      <c r="D39" s="299">
        <f>D9</f>
        <v>0</v>
      </c>
      <c r="E39" s="300"/>
      <c r="F39" s="300"/>
      <c r="G39" s="301"/>
      <c r="K39" s="308"/>
      <c r="L39" s="309"/>
      <c r="M39" s="309"/>
      <c r="N39" s="310"/>
      <c r="R39" s="308"/>
      <c r="S39" s="309"/>
      <c r="T39" s="309"/>
      <c r="U39" s="310"/>
      <c r="Y39" s="308"/>
      <c r="Z39" s="309"/>
      <c r="AA39" s="309"/>
      <c r="AB39" s="310"/>
      <c r="AF39" s="317" t="s">
        <v>1</v>
      </c>
      <c r="AG39" s="318"/>
      <c r="AH39" s="318"/>
      <c r="AI39" s="319"/>
    </row>
    <row r="40" spans="3:35" ht="15.75" customHeight="1" x14ac:dyDescent="0.25">
      <c r="D40" s="302"/>
      <c r="E40" s="303"/>
      <c r="F40" s="303"/>
      <c r="G40" s="304"/>
      <c r="K40" s="311"/>
      <c r="L40" s="312"/>
      <c r="M40" s="312"/>
      <c r="N40" s="313"/>
      <c r="R40" s="311"/>
      <c r="S40" s="312"/>
      <c r="T40" s="312"/>
      <c r="U40" s="313"/>
      <c r="Y40" s="311"/>
      <c r="Z40" s="312"/>
      <c r="AA40" s="312"/>
      <c r="AB40" s="313"/>
      <c r="AF40" s="320"/>
      <c r="AG40" s="321"/>
      <c r="AH40" s="321"/>
      <c r="AI40" s="322"/>
    </row>
    <row r="41" spans="3:35" x14ac:dyDescent="0.25">
      <c r="D41" s="302"/>
      <c r="E41" s="303"/>
      <c r="F41" s="303"/>
      <c r="G41" s="304"/>
      <c r="K41" s="311"/>
      <c r="L41" s="312"/>
      <c r="M41" s="312"/>
      <c r="N41" s="313"/>
      <c r="R41" s="311"/>
      <c r="S41" s="312"/>
      <c r="T41" s="312"/>
      <c r="U41" s="313"/>
      <c r="Y41" s="311"/>
      <c r="Z41" s="312"/>
      <c r="AA41" s="312"/>
      <c r="AB41" s="313"/>
      <c r="AF41" s="320"/>
      <c r="AG41" s="321"/>
      <c r="AH41" s="321"/>
      <c r="AI41" s="322"/>
    </row>
    <row r="42" spans="3:35" x14ac:dyDescent="0.25">
      <c r="D42" s="302"/>
      <c r="E42" s="303"/>
      <c r="F42" s="303"/>
      <c r="G42" s="304"/>
      <c r="K42" s="311"/>
      <c r="L42" s="312"/>
      <c r="M42" s="312"/>
      <c r="N42" s="313"/>
      <c r="R42" s="311"/>
      <c r="S42" s="312"/>
      <c r="T42" s="312"/>
      <c r="U42" s="313"/>
      <c r="Y42" s="311"/>
      <c r="Z42" s="312"/>
      <c r="AA42" s="312"/>
      <c r="AB42" s="313"/>
      <c r="AF42" s="320"/>
      <c r="AG42" s="321"/>
      <c r="AH42" s="321"/>
      <c r="AI42" s="322"/>
    </row>
    <row r="43" spans="3:35" ht="15.75" thickBot="1" x14ac:dyDescent="0.3">
      <c r="D43" s="305"/>
      <c r="E43" s="306"/>
      <c r="F43" s="306"/>
      <c r="G43" s="307"/>
      <c r="K43" s="314"/>
      <c r="L43" s="315"/>
      <c r="M43" s="315"/>
      <c r="N43" s="316"/>
      <c r="R43" s="314"/>
      <c r="S43" s="315"/>
      <c r="T43" s="315"/>
      <c r="U43" s="316"/>
      <c r="Y43" s="314"/>
      <c r="Z43" s="315"/>
      <c r="AA43" s="315"/>
      <c r="AB43" s="316"/>
      <c r="AF43" s="323"/>
      <c r="AG43" s="324"/>
      <c r="AH43" s="324"/>
      <c r="AI43" s="325"/>
    </row>
    <row r="44" spans="3:35" ht="15" customHeight="1" x14ac:dyDescent="0.25"/>
    <row r="45" spans="3:35" ht="15" customHeight="1" x14ac:dyDescent="0.25"/>
    <row r="46" spans="3:35" ht="15" customHeight="1" thickBot="1" x14ac:dyDescent="0.3"/>
    <row r="47" spans="3:35" ht="15" customHeight="1" x14ac:dyDescent="0.25">
      <c r="C47" s="10">
        <v>2</v>
      </c>
      <c r="D47" s="299">
        <f>K9</f>
        <v>0</v>
      </c>
      <c r="E47" s="300"/>
      <c r="F47" s="300"/>
      <c r="G47" s="301"/>
      <c r="K47" s="308"/>
      <c r="L47" s="309"/>
      <c r="M47" s="309"/>
      <c r="N47" s="310"/>
      <c r="R47" s="308"/>
      <c r="S47" s="309"/>
      <c r="T47" s="309"/>
      <c r="U47" s="310"/>
      <c r="Y47" s="308"/>
      <c r="Z47" s="309"/>
      <c r="AA47" s="309"/>
      <c r="AB47" s="310"/>
      <c r="AF47" s="317">
        <f>'2. Planos de Ação'!B12</f>
        <v>0</v>
      </c>
      <c r="AG47" s="318"/>
      <c r="AH47" s="318"/>
      <c r="AI47" s="319"/>
    </row>
    <row r="48" spans="3:35" ht="15.75" customHeight="1" x14ac:dyDescent="0.25">
      <c r="D48" s="302"/>
      <c r="E48" s="303"/>
      <c r="F48" s="303"/>
      <c r="G48" s="304"/>
      <c r="K48" s="311"/>
      <c r="L48" s="312"/>
      <c r="M48" s="312"/>
      <c r="N48" s="313"/>
      <c r="R48" s="311"/>
      <c r="S48" s="312"/>
      <c r="T48" s="312"/>
      <c r="U48" s="313"/>
      <c r="Y48" s="311"/>
      <c r="Z48" s="312"/>
      <c r="AA48" s="312"/>
      <c r="AB48" s="313"/>
      <c r="AF48" s="320"/>
      <c r="AG48" s="321"/>
      <c r="AH48" s="321"/>
      <c r="AI48" s="322"/>
    </row>
    <row r="49" spans="3:35" ht="15" customHeight="1" x14ac:dyDescent="0.25">
      <c r="D49" s="302"/>
      <c r="E49" s="303"/>
      <c r="F49" s="303"/>
      <c r="G49" s="304"/>
      <c r="K49" s="311"/>
      <c r="L49" s="312"/>
      <c r="M49" s="312"/>
      <c r="N49" s="313"/>
      <c r="R49" s="311"/>
      <c r="S49" s="312"/>
      <c r="T49" s="312"/>
      <c r="U49" s="313"/>
      <c r="Y49" s="311"/>
      <c r="Z49" s="312"/>
      <c r="AA49" s="312"/>
      <c r="AB49" s="313"/>
      <c r="AF49" s="320"/>
      <c r="AG49" s="321"/>
      <c r="AH49" s="321"/>
      <c r="AI49" s="322"/>
    </row>
    <row r="50" spans="3:35" ht="15" customHeight="1" x14ac:dyDescent="0.25">
      <c r="D50" s="302"/>
      <c r="E50" s="303"/>
      <c r="F50" s="303"/>
      <c r="G50" s="304"/>
      <c r="K50" s="311"/>
      <c r="L50" s="312"/>
      <c r="M50" s="312"/>
      <c r="N50" s="313"/>
      <c r="R50" s="311"/>
      <c r="S50" s="312"/>
      <c r="T50" s="312"/>
      <c r="U50" s="313"/>
      <c r="Y50" s="311"/>
      <c r="Z50" s="312"/>
      <c r="AA50" s="312"/>
      <c r="AB50" s="313"/>
      <c r="AF50" s="320"/>
      <c r="AG50" s="321"/>
      <c r="AH50" s="321"/>
      <c r="AI50" s="322"/>
    </row>
    <row r="51" spans="3:35" ht="15.75" customHeight="1" thickBot="1" x14ac:dyDescent="0.3">
      <c r="D51" s="305"/>
      <c r="E51" s="306"/>
      <c r="F51" s="306"/>
      <c r="G51" s="307"/>
      <c r="K51" s="314"/>
      <c r="L51" s="315"/>
      <c r="M51" s="315"/>
      <c r="N51" s="316"/>
      <c r="R51" s="314"/>
      <c r="S51" s="315"/>
      <c r="T51" s="315"/>
      <c r="U51" s="316"/>
      <c r="Y51" s="314"/>
      <c r="Z51" s="315"/>
      <c r="AA51" s="315"/>
      <c r="AB51" s="316"/>
      <c r="AF51" s="323"/>
      <c r="AG51" s="324"/>
      <c r="AH51" s="324"/>
      <c r="AI51" s="325"/>
    </row>
    <row r="54" spans="3:35" ht="15.75" thickBot="1" x14ac:dyDescent="0.3"/>
    <row r="55" spans="3:35" x14ac:dyDescent="0.25">
      <c r="C55" s="10">
        <v>3</v>
      </c>
      <c r="D55" s="299">
        <f>R9</f>
        <v>0</v>
      </c>
      <c r="E55" s="300"/>
      <c r="F55" s="300"/>
      <c r="G55" s="301"/>
      <c r="K55" s="308"/>
      <c r="L55" s="309"/>
      <c r="M55" s="309"/>
      <c r="N55" s="310"/>
      <c r="R55" s="308"/>
      <c r="S55" s="309"/>
      <c r="T55" s="309"/>
      <c r="U55" s="310"/>
      <c r="Y55" s="308"/>
      <c r="Z55" s="309"/>
      <c r="AA55" s="309"/>
      <c r="AB55" s="310"/>
      <c r="AF55" s="317">
        <f>'2. Planos de Ação'!B13</f>
        <v>0</v>
      </c>
      <c r="AG55" s="318"/>
      <c r="AH55" s="318"/>
      <c r="AI55" s="319"/>
    </row>
    <row r="56" spans="3:35" x14ac:dyDescent="0.25">
      <c r="D56" s="302"/>
      <c r="E56" s="303"/>
      <c r="F56" s="303"/>
      <c r="G56" s="304"/>
      <c r="K56" s="311"/>
      <c r="L56" s="312"/>
      <c r="M56" s="312"/>
      <c r="N56" s="313"/>
      <c r="R56" s="311"/>
      <c r="S56" s="312"/>
      <c r="T56" s="312"/>
      <c r="U56" s="313"/>
      <c r="Y56" s="311"/>
      <c r="Z56" s="312"/>
      <c r="AA56" s="312"/>
      <c r="AB56" s="313"/>
      <c r="AF56" s="320"/>
      <c r="AG56" s="321"/>
      <c r="AH56" s="321"/>
      <c r="AI56" s="322"/>
    </row>
    <row r="57" spans="3:35" x14ac:dyDescent="0.25">
      <c r="D57" s="302"/>
      <c r="E57" s="303"/>
      <c r="F57" s="303"/>
      <c r="G57" s="304"/>
      <c r="K57" s="311"/>
      <c r="L57" s="312"/>
      <c r="M57" s="312"/>
      <c r="N57" s="313"/>
      <c r="R57" s="311"/>
      <c r="S57" s="312"/>
      <c r="T57" s="312"/>
      <c r="U57" s="313"/>
      <c r="Y57" s="311"/>
      <c r="Z57" s="312"/>
      <c r="AA57" s="312"/>
      <c r="AB57" s="313"/>
      <c r="AF57" s="320"/>
      <c r="AG57" s="321"/>
      <c r="AH57" s="321"/>
      <c r="AI57" s="322"/>
    </row>
    <row r="58" spans="3:35" x14ac:dyDescent="0.25">
      <c r="D58" s="302"/>
      <c r="E58" s="303"/>
      <c r="F58" s="303"/>
      <c r="G58" s="304"/>
      <c r="K58" s="311"/>
      <c r="L58" s="312"/>
      <c r="M58" s="312"/>
      <c r="N58" s="313"/>
      <c r="R58" s="311"/>
      <c r="S58" s="312"/>
      <c r="T58" s="312"/>
      <c r="U58" s="313"/>
      <c r="Y58" s="311"/>
      <c r="Z58" s="312"/>
      <c r="AA58" s="312"/>
      <c r="AB58" s="313"/>
      <c r="AF58" s="320"/>
      <c r="AG58" s="321"/>
      <c r="AH58" s="321"/>
      <c r="AI58" s="322"/>
    </row>
    <row r="59" spans="3:35" ht="15.75" thickBot="1" x14ac:dyDescent="0.3">
      <c r="D59" s="305"/>
      <c r="E59" s="306"/>
      <c r="F59" s="306"/>
      <c r="G59" s="307"/>
      <c r="K59" s="314"/>
      <c r="L59" s="315"/>
      <c r="M59" s="315"/>
      <c r="N59" s="316"/>
      <c r="R59" s="314"/>
      <c r="S59" s="315"/>
      <c r="T59" s="315"/>
      <c r="U59" s="316"/>
      <c r="Y59" s="314"/>
      <c r="Z59" s="315"/>
      <c r="AA59" s="315"/>
      <c r="AB59" s="316"/>
      <c r="AF59" s="323"/>
      <c r="AG59" s="324"/>
      <c r="AH59" s="324"/>
      <c r="AI59" s="325"/>
    </row>
    <row r="62" spans="3:35" ht="15.75" thickBot="1" x14ac:dyDescent="0.3"/>
    <row r="63" spans="3:35" x14ac:dyDescent="0.25">
      <c r="C63" s="10">
        <v>4</v>
      </c>
      <c r="D63" s="299">
        <f>D23</f>
        <v>0</v>
      </c>
      <c r="E63" s="300"/>
      <c r="F63" s="300"/>
      <c r="G63" s="301"/>
      <c r="K63" s="308"/>
      <c r="L63" s="309"/>
      <c r="M63" s="309"/>
      <c r="N63" s="310"/>
      <c r="R63" s="308"/>
      <c r="S63" s="309"/>
      <c r="T63" s="309"/>
      <c r="U63" s="310"/>
      <c r="Y63" s="308"/>
      <c r="Z63" s="309"/>
      <c r="AA63" s="309"/>
      <c r="AB63" s="310"/>
      <c r="AF63" s="317">
        <f>'2. Planos de Ação'!B14</f>
        <v>0</v>
      </c>
      <c r="AG63" s="318"/>
      <c r="AH63" s="318"/>
      <c r="AI63" s="319"/>
    </row>
    <row r="64" spans="3:35" x14ac:dyDescent="0.25">
      <c r="D64" s="302"/>
      <c r="E64" s="303"/>
      <c r="F64" s="303"/>
      <c r="G64" s="304"/>
      <c r="K64" s="311"/>
      <c r="L64" s="312"/>
      <c r="M64" s="312"/>
      <c r="N64" s="313"/>
      <c r="R64" s="311"/>
      <c r="S64" s="312"/>
      <c r="T64" s="312"/>
      <c r="U64" s="313"/>
      <c r="Y64" s="311"/>
      <c r="Z64" s="312"/>
      <c r="AA64" s="312"/>
      <c r="AB64" s="313"/>
      <c r="AF64" s="320"/>
      <c r="AG64" s="321"/>
      <c r="AH64" s="321"/>
      <c r="AI64" s="322"/>
    </row>
    <row r="65" spans="3:35" x14ac:dyDescent="0.25">
      <c r="D65" s="302"/>
      <c r="E65" s="303"/>
      <c r="F65" s="303"/>
      <c r="G65" s="304"/>
      <c r="K65" s="311"/>
      <c r="L65" s="312"/>
      <c r="M65" s="312"/>
      <c r="N65" s="313"/>
      <c r="R65" s="311"/>
      <c r="S65" s="312"/>
      <c r="T65" s="312"/>
      <c r="U65" s="313"/>
      <c r="Y65" s="311"/>
      <c r="Z65" s="312"/>
      <c r="AA65" s="312"/>
      <c r="AB65" s="313"/>
      <c r="AF65" s="320"/>
      <c r="AG65" s="321"/>
      <c r="AH65" s="321"/>
      <c r="AI65" s="322"/>
    </row>
    <row r="66" spans="3:35" x14ac:dyDescent="0.25">
      <c r="D66" s="302"/>
      <c r="E66" s="303"/>
      <c r="F66" s="303"/>
      <c r="G66" s="304"/>
      <c r="K66" s="311"/>
      <c r="L66" s="312"/>
      <c r="M66" s="312"/>
      <c r="N66" s="313"/>
      <c r="R66" s="311"/>
      <c r="S66" s="312"/>
      <c r="T66" s="312"/>
      <c r="U66" s="313"/>
      <c r="Y66" s="311"/>
      <c r="Z66" s="312"/>
      <c r="AA66" s="312"/>
      <c r="AB66" s="313"/>
      <c r="AF66" s="320"/>
      <c r="AG66" s="321"/>
      <c r="AH66" s="321"/>
      <c r="AI66" s="322"/>
    </row>
    <row r="67" spans="3:35" ht="15.75" thickBot="1" x14ac:dyDescent="0.3">
      <c r="D67" s="305"/>
      <c r="E67" s="306"/>
      <c r="F67" s="306"/>
      <c r="G67" s="307"/>
      <c r="K67" s="314"/>
      <c r="L67" s="315"/>
      <c r="M67" s="315"/>
      <c r="N67" s="316"/>
      <c r="R67" s="314"/>
      <c r="S67" s="315"/>
      <c r="T67" s="315"/>
      <c r="U67" s="316"/>
      <c r="Y67" s="314"/>
      <c r="Z67" s="315"/>
      <c r="AA67" s="315"/>
      <c r="AB67" s="316"/>
      <c r="AF67" s="323"/>
      <c r="AG67" s="324"/>
      <c r="AH67" s="324"/>
      <c r="AI67" s="325"/>
    </row>
    <row r="70" spans="3:35" ht="15.75" thickBot="1" x14ac:dyDescent="0.3"/>
    <row r="71" spans="3:35" x14ac:dyDescent="0.25">
      <c r="C71" s="10">
        <v>5</v>
      </c>
      <c r="D71" s="299">
        <f>K23</f>
        <v>0</v>
      </c>
      <c r="E71" s="300"/>
      <c r="F71" s="300"/>
      <c r="G71" s="301"/>
      <c r="K71" s="308"/>
      <c r="L71" s="309"/>
      <c r="M71" s="309"/>
      <c r="N71" s="310"/>
      <c r="R71" s="308"/>
      <c r="S71" s="309"/>
      <c r="T71" s="309"/>
      <c r="U71" s="310"/>
      <c r="Y71" s="308"/>
      <c r="Z71" s="309"/>
      <c r="AA71" s="309"/>
      <c r="AB71" s="310"/>
      <c r="AF71" s="317">
        <f>'2. Planos de Ação'!B15</f>
        <v>0</v>
      </c>
      <c r="AG71" s="318"/>
      <c r="AH71" s="318"/>
      <c r="AI71" s="319"/>
    </row>
    <row r="72" spans="3:35" x14ac:dyDescent="0.25">
      <c r="D72" s="302"/>
      <c r="E72" s="303"/>
      <c r="F72" s="303"/>
      <c r="G72" s="304"/>
      <c r="K72" s="311"/>
      <c r="L72" s="312"/>
      <c r="M72" s="312"/>
      <c r="N72" s="313"/>
      <c r="R72" s="311"/>
      <c r="S72" s="312"/>
      <c r="T72" s="312"/>
      <c r="U72" s="313"/>
      <c r="Y72" s="311"/>
      <c r="Z72" s="312"/>
      <c r="AA72" s="312"/>
      <c r="AB72" s="313"/>
      <c r="AF72" s="320"/>
      <c r="AG72" s="321"/>
      <c r="AH72" s="321"/>
      <c r="AI72" s="322"/>
    </row>
    <row r="73" spans="3:35" x14ac:dyDescent="0.25">
      <c r="D73" s="302"/>
      <c r="E73" s="303"/>
      <c r="F73" s="303"/>
      <c r="G73" s="304"/>
      <c r="K73" s="311"/>
      <c r="L73" s="312"/>
      <c r="M73" s="312"/>
      <c r="N73" s="313"/>
      <c r="R73" s="311"/>
      <c r="S73" s="312"/>
      <c r="T73" s="312"/>
      <c r="U73" s="313"/>
      <c r="Y73" s="311"/>
      <c r="Z73" s="312"/>
      <c r="AA73" s="312"/>
      <c r="AB73" s="313"/>
      <c r="AF73" s="320"/>
      <c r="AG73" s="321"/>
      <c r="AH73" s="321"/>
      <c r="AI73" s="322"/>
    </row>
    <row r="74" spans="3:35" x14ac:dyDescent="0.25">
      <c r="D74" s="302"/>
      <c r="E74" s="303"/>
      <c r="F74" s="303"/>
      <c r="G74" s="304"/>
      <c r="K74" s="311"/>
      <c r="L74" s="312"/>
      <c r="M74" s="312"/>
      <c r="N74" s="313"/>
      <c r="R74" s="311"/>
      <c r="S74" s="312"/>
      <c r="T74" s="312"/>
      <c r="U74" s="313"/>
      <c r="Y74" s="311"/>
      <c r="Z74" s="312"/>
      <c r="AA74" s="312"/>
      <c r="AB74" s="313"/>
      <c r="AF74" s="320"/>
      <c r="AG74" s="321"/>
      <c r="AH74" s="321"/>
      <c r="AI74" s="322"/>
    </row>
    <row r="75" spans="3:35" ht="15.75" thickBot="1" x14ac:dyDescent="0.3">
      <c r="D75" s="305"/>
      <c r="E75" s="306"/>
      <c r="F75" s="306"/>
      <c r="G75" s="307"/>
      <c r="K75" s="314"/>
      <c r="L75" s="315"/>
      <c r="M75" s="315"/>
      <c r="N75" s="316"/>
      <c r="R75" s="314"/>
      <c r="S75" s="315"/>
      <c r="T75" s="315"/>
      <c r="U75" s="316"/>
      <c r="Y75" s="314"/>
      <c r="Z75" s="315"/>
      <c r="AA75" s="315"/>
      <c r="AB75" s="316"/>
      <c r="AF75" s="323"/>
      <c r="AG75" s="324"/>
      <c r="AH75" s="324"/>
      <c r="AI75" s="325"/>
    </row>
    <row r="78" spans="3:35" ht="15.75" thickBot="1" x14ac:dyDescent="0.3"/>
    <row r="79" spans="3:35" x14ac:dyDescent="0.25">
      <c r="C79" s="10">
        <v>6</v>
      </c>
      <c r="D79" s="299">
        <f>R23</f>
        <v>0</v>
      </c>
      <c r="E79" s="300"/>
      <c r="F79" s="300"/>
      <c r="G79" s="301"/>
      <c r="K79" s="308"/>
      <c r="L79" s="309"/>
      <c r="M79" s="309"/>
      <c r="N79" s="310"/>
      <c r="R79" s="308"/>
      <c r="S79" s="309"/>
      <c r="T79" s="309"/>
      <c r="U79" s="310"/>
      <c r="Y79" s="308"/>
      <c r="Z79" s="309"/>
      <c r="AA79" s="309"/>
      <c r="AB79" s="310"/>
      <c r="AF79" s="317">
        <f>'2. Planos de Ação'!B16</f>
        <v>0</v>
      </c>
      <c r="AG79" s="318"/>
      <c r="AH79" s="318"/>
      <c r="AI79" s="319"/>
    </row>
    <row r="80" spans="3:35" x14ac:dyDescent="0.25">
      <c r="D80" s="302"/>
      <c r="E80" s="303"/>
      <c r="F80" s="303"/>
      <c r="G80" s="304"/>
      <c r="K80" s="311"/>
      <c r="L80" s="312"/>
      <c r="M80" s="312"/>
      <c r="N80" s="313"/>
      <c r="R80" s="311"/>
      <c r="S80" s="312"/>
      <c r="T80" s="312"/>
      <c r="U80" s="313"/>
      <c r="Y80" s="311"/>
      <c r="Z80" s="312"/>
      <c r="AA80" s="312"/>
      <c r="AB80" s="313"/>
      <c r="AF80" s="320"/>
      <c r="AG80" s="321"/>
      <c r="AH80" s="321"/>
      <c r="AI80" s="322"/>
    </row>
    <row r="81" spans="4:35" x14ac:dyDescent="0.25">
      <c r="D81" s="302"/>
      <c r="E81" s="303"/>
      <c r="F81" s="303"/>
      <c r="G81" s="304"/>
      <c r="K81" s="311"/>
      <c r="L81" s="312"/>
      <c r="M81" s="312"/>
      <c r="N81" s="313"/>
      <c r="R81" s="311"/>
      <c r="S81" s="312"/>
      <c r="T81" s="312"/>
      <c r="U81" s="313"/>
      <c r="Y81" s="311"/>
      <c r="Z81" s="312"/>
      <c r="AA81" s="312"/>
      <c r="AB81" s="313"/>
      <c r="AF81" s="320"/>
      <c r="AG81" s="321"/>
      <c r="AH81" s="321"/>
      <c r="AI81" s="322"/>
    </row>
    <row r="82" spans="4:35" x14ac:dyDescent="0.25">
      <c r="D82" s="302"/>
      <c r="E82" s="303"/>
      <c r="F82" s="303"/>
      <c r="G82" s="304"/>
      <c r="K82" s="311"/>
      <c r="L82" s="312"/>
      <c r="M82" s="312"/>
      <c r="N82" s="313"/>
      <c r="R82" s="311"/>
      <c r="S82" s="312"/>
      <c r="T82" s="312"/>
      <c r="U82" s="313"/>
      <c r="Y82" s="311"/>
      <c r="Z82" s="312"/>
      <c r="AA82" s="312"/>
      <c r="AB82" s="313"/>
      <c r="AF82" s="320"/>
      <c r="AG82" s="321"/>
      <c r="AH82" s="321"/>
      <c r="AI82" s="322"/>
    </row>
    <row r="83" spans="4:35" ht="15.75" thickBot="1" x14ac:dyDescent="0.3">
      <c r="D83" s="305"/>
      <c r="E83" s="306"/>
      <c r="F83" s="306"/>
      <c r="G83" s="307"/>
      <c r="K83" s="314"/>
      <c r="L83" s="315"/>
      <c r="M83" s="315"/>
      <c r="N83" s="316"/>
      <c r="R83" s="314"/>
      <c r="S83" s="315"/>
      <c r="T83" s="315"/>
      <c r="U83" s="316"/>
      <c r="Y83" s="314"/>
      <c r="Z83" s="315"/>
      <c r="AA83" s="315"/>
      <c r="AB83" s="316"/>
      <c r="AF83" s="323"/>
      <c r="AG83" s="324"/>
      <c r="AH83" s="324"/>
      <c r="AI83" s="325"/>
    </row>
  </sheetData>
  <mergeCells count="38">
    <mergeCell ref="A5:S5"/>
    <mergeCell ref="D9:G13"/>
    <mergeCell ref="W17:Z20"/>
    <mergeCell ref="D23:G28"/>
    <mergeCell ref="K23:N28"/>
    <mergeCell ref="R23:U28"/>
    <mergeCell ref="K9:N13"/>
    <mergeCell ref="R9:U13"/>
    <mergeCell ref="R39:U43"/>
    <mergeCell ref="Y39:AB43"/>
    <mergeCell ref="AF39:AI43"/>
    <mergeCell ref="D47:G51"/>
    <mergeCell ref="K47:N51"/>
    <mergeCell ref="R47:U51"/>
    <mergeCell ref="Y47:AB51"/>
    <mergeCell ref="AF47:AI51"/>
    <mergeCell ref="D39:G43"/>
    <mergeCell ref="K39:N43"/>
    <mergeCell ref="D63:G67"/>
    <mergeCell ref="K63:N67"/>
    <mergeCell ref="R63:U67"/>
    <mergeCell ref="Y63:AB67"/>
    <mergeCell ref="AF63:AI67"/>
    <mergeCell ref="D55:G59"/>
    <mergeCell ref="K55:N59"/>
    <mergeCell ref="R55:U59"/>
    <mergeCell ref="Y55:AB59"/>
    <mergeCell ref="AF55:AI59"/>
    <mergeCell ref="D71:G75"/>
    <mergeCell ref="K71:N75"/>
    <mergeCell ref="R71:U75"/>
    <mergeCell ref="Y71:AB75"/>
    <mergeCell ref="AF71:AI75"/>
    <mergeCell ref="D79:G83"/>
    <mergeCell ref="K79:N83"/>
    <mergeCell ref="R79:U83"/>
    <mergeCell ref="Y79:AB83"/>
    <mergeCell ref="AF79:AI83"/>
  </mergeCells>
  <pageMargins left="0.511811024" right="0.511811024" top="0.78740157499999996" bottom="0.78740157499999996" header="0.31496062000000002" footer="0.31496062000000002"/>
  <headerFooter>
    <oddFooter>&amp;R_x000D_&amp;1#&amp;"Calibri"&amp;10&amp;K008000 [ CLASSIFICAÇÃO: PÚBLICA 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4C99-E295-4740-91BD-0BD57E0B8FE5}">
  <sheetPr>
    <tabColor theme="1"/>
  </sheetPr>
  <dimension ref="A5:AC5"/>
  <sheetViews>
    <sheetView showGridLines="0" topLeftCell="A31" zoomScale="85" zoomScaleNormal="85" workbookViewId="0">
      <selection activeCell="H25" sqref="H25"/>
    </sheetView>
  </sheetViews>
  <sheetFormatPr defaultRowHeight="15" x14ac:dyDescent="0.25"/>
  <sheetData>
    <row r="5" spans="1:29" s="80" customFormat="1" ht="19.5" x14ac:dyDescent="0.25">
      <c r="A5" s="336" t="s">
        <v>2</v>
      </c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</row>
  </sheetData>
  <mergeCells count="1">
    <mergeCell ref="A5:AC5"/>
  </mergeCells>
  <pageMargins left="0.511811024" right="0.511811024" top="0.78740157499999996" bottom="0.78740157499999996" header="0.31496062000000002" footer="0.31496062000000002"/>
  <headerFooter>
    <oddFooter>&amp;R_x000D_&amp;1#&amp;"Calibri"&amp;10&amp;K008000 [ CLASSIFICAÇÃO: PÚBLICA ]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1CC9-3EB1-4891-9AEF-981CFF131BAE}">
  <sheetPr codeName="Planilha7">
    <tabColor theme="2" tint="-0.89999084444715716"/>
  </sheetPr>
  <dimension ref="C1:AC85"/>
  <sheetViews>
    <sheetView showGridLines="0" topLeftCell="D31" zoomScaleNormal="100" workbookViewId="0">
      <selection activeCell="I55" sqref="I55"/>
    </sheetView>
  </sheetViews>
  <sheetFormatPr defaultColWidth="8.7109375" defaultRowHeight="12.75" x14ac:dyDescent="0.2"/>
  <cols>
    <col min="1" max="1" width="6.7109375" style="85" customWidth="1"/>
    <col min="2" max="2" width="2.42578125" style="85" customWidth="1"/>
    <col min="3" max="3" width="57.42578125" style="85" customWidth="1"/>
    <col min="4" max="4" width="20.28515625" style="85" customWidth="1"/>
    <col min="5" max="5" width="11.42578125" style="85" customWidth="1"/>
    <col min="6" max="6" width="16.28515625" style="85" customWidth="1"/>
    <col min="7" max="7" width="30.140625" style="85" customWidth="1"/>
    <col min="8" max="8" width="39.140625" style="85" customWidth="1"/>
    <col min="9" max="9" width="16.28515625" style="85" customWidth="1"/>
    <col min="10" max="10" width="36.5703125" style="85" customWidth="1"/>
    <col min="11" max="11" width="21.140625" style="85" customWidth="1"/>
    <col min="12" max="12" width="16.28515625" style="85" customWidth="1"/>
    <col min="13" max="13" width="62.42578125" style="85" customWidth="1"/>
    <col min="14" max="14" width="22" style="85" bestFit="1" customWidth="1"/>
    <col min="15" max="15" width="15.7109375" style="85" customWidth="1"/>
    <col min="16" max="16" width="20.42578125" style="85" customWidth="1"/>
    <col min="17" max="17" width="16.42578125" style="112" customWidth="1"/>
    <col min="18" max="18" width="72.85546875" style="85" customWidth="1"/>
    <col min="19" max="19" width="20.85546875" style="85" bestFit="1" customWidth="1"/>
    <col min="20" max="20" width="13.85546875" style="85" customWidth="1"/>
    <col min="21" max="21" width="14.85546875" style="85" customWidth="1"/>
    <col min="22" max="28" width="8.7109375" style="85"/>
    <col min="29" max="29" width="8.7109375" style="85" customWidth="1"/>
    <col min="30" max="16384" width="8.7109375" style="85"/>
  </cols>
  <sheetData>
    <row r="1" spans="3:29" ht="13.5" thickBot="1" x14ac:dyDescent="0.25"/>
    <row r="2" spans="3:29" x14ac:dyDescent="0.2">
      <c r="C2" s="113" t="s">
        <v>3</v>
      </c>
      <c r="D2" s="114"/>
      <c r="E2" s="115"/>
      <c r="F2" s="115"/>
      <c r="G2" s="115"/>
      <c r="H2" s="115"/>
      <c r="I2" s="113" t="s">
        <v>4</v>
      </c>
      <c r="J2" s="114"/>
      <c r="K2" s="114"/>
      <c r="L2" s="115"/>
      <c r="M2" s="115"/>
      <c r="N2" s="115"/>
      <c r="O2" s="116"/>
    </row>
    <row r="3" spans="3:29" ht="21.75" customHeight="1" x14ac:dyDescent="0.2">
      <c r="C3" s="117" t="s">
        <v>5</v>
      </c>
      <c r="D3" s="118"/>
      <c r="E3" s="118"/>
      <c r="F3" s="118"/>
      <c r="G3" s="118"/>
      <c r="H3" s="118"/>
      <c r="I3" s="120" t="s">
        <v>6</v>
      </c>
      <c r="J3" s="118"/>
      <c r="K3" s="118"/>
      <c r="L3" s="118"/>
      <c r="M3" s="118"/>
      <c r="N3" s="118"/>
      <c r="O3" s="119"/>
      <c r="W3" s="121"/>
    </row>
    <row r="4" spans="3:29" ht="21.75" customHeight="1" x14ac:dyDescent="0.2">
      <c r="C4" s="117" t="s">
        <v>7</v>
      </c>
      <c r="D4" s="118"/>
      <c r="E4" s="118"/>
      <c r="F4" s="118"/>
      <c r="G4" s="118"/>
      <c r="H4" s="118"/>
      <c r="I4" s="120" t="s">
        <v>8</v>
      </c>
      <c r="J4" s="118"/>
      <c r="K4" s="118"/>
      <c r="L4" s="118"/>
      <c r="M4" s="118"/>
      <c r="N4" s="118"/>
      <c r="O4" s="119"/>
    </row>
    <row r="5" spans="3:29" ht="21.75" customHeight="1" thickBot="1" x14ac:dyDescent="0.25">
      <c r="C5" s="122" t="s">
        <v>9</v>
      </c>
      <c r="D5" s="123"/>
      <c r="E5" s="123"/>
      <c r="F5" s="123"/>
      <c r="G5" s="123"/>
      <c r="H5" s="123"/>
      <c r="I5" s="125"/>
      <c r="J5" s="123"/>
      <c r="K5" s="123"/>
      <c r="L5" s="123"/>
      <c r="M5" s="123"/>
      <c r="N5" s="123"/>
      <c r="O5" s="124"/>
      <c r="W5" s="350"/>
      <c r="X5" s="350"/>
      <c r="Y5" s="350"/>
      <c r="Z5" s="350"/>
      <c r="AA5" s="350"/>
      <c r="AB5" s="350"/>
      <c r="AC5" s="350"/>
    </row>
    <row r="6" spans="3:29" ht="15" customHeight="1" x14ac:dyDescent="0.2">
      <c r="W6" s="350"/>
      <c r="X6" s="350"/>
      <c r="Y6" s="350"/>
      <c r="Z6" s="350"/>
      <c r="AA6" s="350"/>
      <c r="AB6" s="350"/>
      <c r="AC6" s="350"/>
    </row>
    <row r="7" spans="3:29" ht="17.25" customHeight="1" thickBot="1" x14ac:dyDescent="0.25">
      <c r="C7" s="349" t="s">
        <v>10</v>
      </c>
      <c r="D7" s="349"/>
      <c r="E7" s="349"/>
      <c r="X7" s="126"/>
      <c r="Y7" s="126"/>
      <c r="Z7" s="126"/>
      <c r="AA7" s="126"/>
      <c r="AB7" s="126"/>
      <c r="AC7" s="126"/>
    </row>
    <row r="8" spans="3:29" ht="13.5" thickBot="1" x14ac:dyDescent="0.25">
      <c r="C8" s="351" t="s">
        <v>11</v>
      </c>
      <c r="D8" s="351"/>
      <c r="E8" s="127" t="s">
        <v>12</v>
      </c>
      <c r="W8" s="350"/>
      <c r="X8" s="350"/>
      <c r="Y8" s="350"/>
      <c r="Z8" s="350"/>
      <c r="AA8" s="350"/>
      <c r="AB8" s="350"/>
      <c r="AC8" s="350"/>
    </row>
    <row r="9" spans="3:29" x14ac:dyDescent="0.2">
      <c r="C9" s="128" t="s">
        <v>13</v>
      </c>
      <c r="D9" s="129">
        <v>18000000</v>
      </c>
      <c r="E9" s="130" t="s">
        <v>14</v>
      </c>
      <c r="W9" s="350"/>
      <c r="X9" s="350"/>
      <c r="Y9" s="350"/>
      <c r="Z9" s="350"/>
      <c r="AA9" s="350"/>
      <c r="AB9" s="350"/>
      <c r="AC9" s="350"/>
    </row>
    <row r="10" spans="3:29" x14ac:dyDescent="0.2">
      <c r="C10" s="131" t="s">
        <v>15</v>
      </c>
      <c r="D10" s="132">
        <v>116</v>
      </c>
      <c r="E10" s="133" t="s">
        <v>14</v>
      </c>
    </row>
    <row r="11" spans="3:29" x14ac:dyDescent="0.2">
      <c r="C11" s="131" t="s">
        <v>16</v>
      </c>
      <c r="D11" s="134">
        <v>0.4</v>
      </c>
      <c r="E11" s="133" t="s">
        <v>14</v>
      </c>
    </row>
    <row r="12" spans="3:29" x14ac:dyDescent="0.2">
      <c r="C12" s="131" t="s">
        <v>17</v>
      </c>
      <c r="D12" s="135">
        <f>D9/(D11)-D9</f>
        <v>27000000</v>
      </c>
      <c r="E12" s="136"/>
    </row>
    <row r="13" spans="3:29" x14ac:dyDescent="0.2">
      <c r="C13" s="131" t="s">
        <v>18</v>
      </c>
      <c r="D13" s="135">
        <f>D12/D10</f>
        <v>232758.62068965516</v>
      </c>
      <c r="E13" s="136"/>
    </row>
    <row r="14" spans="3:29" x14ac:dyDescent="0.2">
      <c r="C14" s="131" t="s">
        <v>19</v>
      </c>
      <c r="D14" s="137">
        <v>0.03</v>
      </c>
      <c r="E14" s="136"/>
      <c r="M14" s="138"/>
    </row>
    <row r="15" spans="3:29" x14ac:dyDescent="0.2">
      <c r="C15" s="131" t="s">
        <v>20</v>
      </c>
      <c r="D15" s="135">
        <f>(D14*D9)</f>
        <v>540000</v>
      </c>
      <c r="E15" s="136"/>
      <c r="M15" s="138"/>
    </row>
    <row r="16" spans="3:29" x14ac:dyDescent="0.2">
      <c r="C16" s="131" t="s">
        <v>21</v>
      </c>
      <c r="D16" s="135">
        <f>D15*D24</f>
        <v>6480000</v>
      </c>
      <c r="E16" s="136"/>
      <c r="M16" s="138"/>
    </row>
    <row r="17" spans="3:25" x14ac:dyDescent="0.2">
      <c r="C17" s="139" t="s">
        <v>22</v>
      </c>
      <c r="D17" s="140">
        <v>4.0000000000000001E-3</v>
      </c>
      <c r="E17" s="133" t="s">
        <v>23</v>
      </c>
      <c r="F17" s="141"/>
      <c r="G17" s="141"/>
      <c r="H17" s="141"/>
      <c r="I17" s="141"/>
      <c r="J17" s="141"/>
      <c r="K17" s="141"/>
      <c r="L17" s="141"/>
    </row>
    <row r="18" spans="3:25" ht="13.5" thickBot="1" x14ac:dyDescent="0.25">
      <c r="C18" s="142" t="s">
        <v>24</v>
      </c>
      <c r="D18" s="143">
        <f>(D9*D17/12)</f>
        <v>6000</v>
      </c>
      <c r="E18" s="144"/>
      <c r="F18" s="138"/>
      <c r="G18" s="138"/>
      <c r="H18" s="138"/>
      <c r="I18" s="138"/>
      <c r="J18" s="138"/>
      <c r="K18" s="138"/>
      <c r="L18" s="138"/>
      <c r="M18" s="138"/>
    </row>
    <row r="19" spans="3:25" x14ac:dyDescent="0.2">
      <c r="M19" s="138"/>
    </row>
    <row r="20" spans="3:25" x14ac:dyDescent="0.2">
      <c r="M20" s="138"/>
    </row>
    <row r="21" spans="3:25" x14ac:dyDescent="0.2">
      <c r="M21" s="138"/>
    </row>
    <row r="22" spans="3:25" ht="13.5" thickBot="1" x14ac:dyDescent="0.25">
      <c r="C22" s="349" t="s">
        <v>25</v>
      </c>
      <c r="D22" s="349"/>
      <c r="E22" s="349"/>
      <c r="G22" s="348" t="s">
        <v>26</v>
      </c>
      <c r="H22" s="348"/>
      <c r="I22" s="348"/>
      <c r="J22" s="348"/>
      <c r="K22" s="348"/>
      <c r="M22" s="352" t="s">
        <v>27</v>
      </c>
      <c r="N22" s="352"/>
      <c r="O22" s="352"/>
      <c r="P22" s="352"/>
      <c r="Q22" s="248"/>
      <c r="R22" s="348" t="s">
        <v>28</v>
      </c>
      <c r="S22" s="348"/>
      <c r="T22" s="348"/>
      <c r="U22" s="248"/>
      <c r="V22" s="248"/>
      <c r="W22" s="248"/>
      <c r="X22" s="248"/>
      <c r="Y22" s="248"/>
    </row>
    <row r="23" spans="3:25" ht="13.5" thickBot="1" x14ac:dyDescent="0.25">
      <c r="C23" s="339" t="s">
        <v>29</v>
      </c>
      <c r="D23" s="339"/>
      <c r="E23" s="127" t="s">
        <v>12</v>
      </c>
      <c r="R23" s="112"/>
      <c r="S23" s="112"/>
      <c r="T23" s="112"/>
      <c r="U23" s="112"/>
      <c r="V23" s="112"/>
    </row>
    <row r="24" spans="3:25" ht="13.5" thickBot="1" x14ac:dyDescent="0.25">
      <c r="C24" s="145" t="s">
        <v>30</v>
      </c>
      <c r="D24" s="146">
        <v>12</v>
      </c>
      <c r="E24" s="133" t="s">
        <v>23</v>
      </c>
      <c r="G24" s="339" t="s">
        <v>31</v>
      </c>
      <c r="H24" s="339"/>
      <c r="I24" s="339"/>
      <c r="J24" s="339"/>
      <c r="K24" s="340"/>
      <c r="M24" s="346" t="s">
        <v>32</v>
      </c>
      <c r="N24" s="346"/>
      <c r="O24" s="346"/>
      <c r="P24" s="346"/>
      <c r="R24" s="147" t="s">
        <v>33</v>
      </c>
      <c r="S24" s="148" t="s">
        <v>34</v>
      </c>
      <c r="T24" s="149" t="s">
        <v>12</v>
      </c>
      <c r="U24" s="112"/>
      <c r="V24" s="112"/>
    </row>
    <row r="25" spans="3:25" ht="13.5" thickBot="1" x14ac:dyDescent="0.25">
      <c r="C25" s="131" t="s">
        <v>35</v>
      </c>
      <c r="D25" s="152">
        <v>15000</v>
      </c>
      <c r="E25" s="133"/>
      <c r="G25" s="153" t="s">
        <v>36</v>
      </c>
      <c r="H25" s="154"/>
      <c r="I25" s="154"/>
      <c r="J25" s="155"/>
      <c r="K25" s="156">
        <v>0.5</v>
      </c>
      <c r="R25" s="157" t="s">
        <v>37</v>
      </c>
      <c r="S25" s="237">
        <f>D34</f>
        <v>26784000</v>
      </c>
      <c r="T25" s="158"/>
      <c r="U25" s="112"/>
      <c r="V25" s="112"/>
    </row>
    <row r="26" spans="3:25" ht="14.1" customHeight="1" x14ac:dyDescent="0.2">
      <c r="C26" s="139" t="s">
        <v>38</v>
      </c>
      <c r="D26" s="140">
        <v>4.0000000000000001E-3</v>
      </c>
      <c r="E26" s="133" t="s">
        <v>23</v>
      </c>
      <c r="G26" s="161" t="s">
        <v>39</v>
      </c>
      <c r="H26" s="162"/>
      <c r="I26" s="162"/>
      <c r="J26" s="163"/>
      <c r="K26" s="164">
        <v>0.7</v>
      </c>
      <c r="M26" s="203" t="s">
        <v>40</v>
      </c>
      <c r="N26" s="204" t="s">
        <v>41</v>
      </c>
      <c r="O26" s="204" t="s">
        <v>42</v>
      </c>
      <c r="P26" s="205" t="s">
        <v>43</v>
      </c>
      <c r="R26" s="131" t="s">
        <v>44</v>
      </c>
      <c r="S26" s="165">
        <f>S25/D24</f>
        <v>2232000</v>
      </c>
      <c r="T26" s="136"/>
    </row>
    <row r="27" spans="3:25" x14ac:dyDescent="0.2">
      <c r="C27" s="131" t="s">
        <v>45</v>
      </c>
      <c r="D27" s="167">
        <f>D25*12/D26</f>
        <v>45000000</v>
      </c>
      <c r="E27" s="133"/>
      <c r="G27" s="168" t="s">
        <v>46</v>
      </c>
      <c r="H27" s="162"/>
      <c r="I27" s="162"/>
      <c r="J27" s="163"/>
      <c r="K27" s="164">
        <v>0.6</v>
      </c>
      <c r="M27" s="207" t="s">
        <v>47</v>
      </c>
      <c r="N27" s="208">
        <f>S29</f>
        <v>58</v>
      </c>
      <c r="O27" s="208">
        <f>ROUNDUP(N27/4,0)</f>
        <v>15</v>
      </c>
      <c r="P27" s="209">
        <f>ROUNDUP(O27/5,0)</f>
        <v>3</v>
      </c>
      <c r="R27" s="131" t="s">
        <v>48</v>
      </c>
      <c r="S27" s="169">
        <f>K29</f>
        <v>300000</v>
      </c>
      <c r="T27" s="170" t="s">
        <v>23</v>
      </c>
    </row>
    <row r="28" spans="3:25" x14ac:dyDescent="0.2">
      <c r="C28" s="171" t="s">
        <v>49</v>
      </c>
      <c r="D28" s="172">
        <f>(D27-D9)/D24</f>
        <v>2250000</v>
      </c>
      <c r="E28" s="133"/>
      <c r="G28" s="168" t="s">
        <v>50</v>
      </c>
      <c r="H28" s="162"/>
      <c r="I28" s="162"/>
      <c r="J28" s="163"/>
      <c r="K28" s="164">
        <v>0.7</v>
      </c>
      <c r="M28" s="207" t="s">
        <v>51</v>
      </c>
      <c r="N28" s="208">
        <f>S32</f>
        <v>29</v>
      </c>
      <c r="O28" s="208">
        <f>ROUNDUP(N28/4,0)</f>
        <v>8</v>
      </c>
      <c r="P28" s="209">
        <f>ROUNDUP(O28/5,0)</f>
        <v>2</v>
      </c>
      <c r="R28" s="173" t="s">
        <v>52</v>
      </c>
      <c r="S28" s="239">
        <f>S29*D24</f>
        <v>696</v>
      </c>
      <c r="T28" s="136"/>
    </row>
    <row r="29" spans="3:25" ht="13.5" thickBot="1" x14ac:dyDescent="0.25">
      <c r="C29" s="175" t="s">
        <v>53</v>
      </c>
      <c r="D29" s="165">
        <f>(D28*D24)+D16</f>
        <v>33480000</v>
      </c>
      <c r="E29" s="133"/>
      <c r="G29" s="251" t="s">
        <v>54</v>
      </c>
      <c r="H29" s="176"/>
      <c r="I29" s="176"/>
      <c r="J29" s="177"/>
      <c r="K29" s="252">
        <v>300000</v>
      </c>
      <c r="M29" s="207" t="s">
        <v>55</v>
      </c>
      <c r="N29" s="208">
        <f>S34</f>
        <v>20</v>
      </c>
      <c r="O29" s="208">
        <f>ROUNDUP(N29/4,0)</f>
        <v>5</v>
      </c>
      <c r="P29" s="209">
        <f>ROUNDUP(O29/5,0)</f>
        <v>1</v>
      </c>
      <c r="R29" s="173" t="s">
        <v>56</v>
      </c>
      <c r="S29" s="239">
        <f>ROUNDUP((S32/S31),)</f>
        <v>58</v>
      </c>
      <c r="T29" s="136"/>
    </row>
    <row r="30" spans="3:25" ht="13.5" thickBot="1" x14ac:dyDescent="0.25">
      <c r="C30" s="131" t="s">
        <v>57</v>
      </c>
      <c r="D30" s="165">
        <f>IFERROR(((D28*D24)+D16),"")</f>
        <v>33480000</v>
      </c>
      <c r="E30" s="133"/>
      <c r="M30" s="211" t="s">
        <v>58</v>
      </c>
      <c r="N30" s="212">
        <f>S27</f>
        <v>300000</v>
      </c>
      <c r="O30" s="213"/>
      <c r="P30" s="214"/>
      <c r="R30" s="173" t="s">
        <v>59</v>
      </c>
      <c r="S30" s="239">
        <f>ROUNDUP((S29/22),)</f>
        <v>3</v>
      </c>
      <c r="T30" s="136"/>
    </row>
    <row r="31" spans="3:25" ht="13.5" thickBot="1" x14ac:dyDescent="0.25">
      <c r="C31" s="131" t="s">
        <v>60</v>
      </c>
      <c r="D31" s="134">
        <v>0.2</v>
      </c>
      <c r="E31" s="133" t="s">
        <v>23</v>
      </c>
      <c r="G31" s="187"/>
      <c r="K31" s="250"/>
      <c r="M31" s="112"/>
      <c r="N31" s="215"/>
      <c r="O31" s="187"/>
      <c r="P31" s="187"/>
      <c r="R31" s="131" t="s">
        <v>61</v>
      </c>
      <c r="S31" s="174">
        <f>K25</f>
        <v>0.5</v>
      </c>
      <c r="T31" s="170" t="s">
        <v>23</v>
      </c>
    </row>
    <row r="32" spans="3:25" ht="13.5" thickBot="1" x14ac:dyDescent="0.25">
      <c r="C32" s="131" t="s">
        <v>62</v>
      </c>
      <c r="D32" s="178">
        <f>1-D31</f>
        <v>0.8</v>
      </c>
      <c r="E32" s="133"/>
      <c r="M32" s="222" t="s">
        <v>63</v>
      </c>
      <c r="N32" s="223">
        <f>(D30*D32)/D24</f>
        <v>2232000</v>
      </c>
      <c r="O32" s="187"/>
      <c r="P32" s="187"/>
      <c r="R32" s="173" t="s">
        <v>64</v>
      </c>
      <c r="S32" s="239">
        <f>ROUNDUP((S34/S33),)</f>
        <v>29</v>
      </c>
      <c r="T32" s="136"/>
    </row>
    <row r="33" spans="3:21" x14ac:dyDescent="0.2">
      <c r="C33" s="173" t="s">
        <v>65</v>
      </c>
      <c r="D33" s="172">
        <f>D30*D31</f>
        <v>6696000</v>
      </c>
      <c r="E33" s="133"/>
      <c r="R33" s="131" t="s">
        <v>66</v>
      </c>
      <c r="S33" s="174">
        <f>K26</f>
        <v>0.7</v>
      </c>
      <c r="T33" s="170" t="s">
        <v>23</v>
      </c>
      <c r="U33" s="87"/>
    </row>
    <row r="34" spans="3:21" ht="13.5" thickBot="1" x14ac:dyDescent="0.25">
      <c r="C34" s="180" t="s">
        <v>67</v>
      </c>
      <c r="D34" s="181">
        <f>D30*D32</f>
        <v>26784000</v>
      </c>
      <c r="E34" s="144"/>
      <c r="R34" s="173" t="s">
        <v>68</v>
      </c>
      <c r="S34" s="239">
        <f>S36/S35</f>
        <v>20</v>
      </c>
      <c r="T34" s="136"/>
      <c r="U34" s="87"/>
    </row>
    <row r="35" spans="3:21" x14ac:dyDescent="0.2">
      <c r="D35" s="138"/>
      <c r="G35" s="348" t="s">
        <v>69</v>
      </c>
      <c r="H35" s="348"/>
      <c r="I35" s="348"/>
      <c r="J35" s="348"/>
      <c r="K35" s="348"/>
      <c r="M35" s="346" t="s">
        <v>70</v>
      </c>
      <c r="N35" s="347"/>
      <c r="O35" s="347"/>
      <c r="P35" s="347"/>
      <c r="R35" s="131" t="s">
        <v>71</v>
      </c>
      <c r="S35" s="174">
        <f>K27</f>
        <v>0.6</v>
      </c>
      <c r="T35" s="170" t="s">
        <v>23</v>
      </c>
    </row>
    <row r="36" spans="3:21" ht="13.5" thickBot="1" x14ac:dyDescent="0.25">
      <c r="R36" s="173" t="s">
        <v>72</v>
      </c>
      <c r="S36" s="239">
        <f>IFERROR(ROUNDUP(S38*S40,0),"")</f>
        <v>12</v>
      </c>
      <c r="T36" s="136"/>
    </row>
    <row r="37" spans="3:21" x14ac:dyDescent="0.2">
      <c r="G37" s="337" t="s">
        <v>73</v>
      </c>
      <c r="H37" s="337"/>
      <c r="I37" s="337"/>
      <c r="J37" s="337"/>
      <c r="K37" s="338"/>
      <c r="M37" s="203" t="s">
        <v>74</v>
      </c>
      <c r="N37" s="204" t="s">
        <v>41</v>
      </c>
      <c r="O37" s="204" t="s">
        <v>42</v>
      </c>
      <c r="P37" s="205" t="s">
        <v>43</v>
      </c>
      <c r="R37" s="131" t="s">
        <v>75</v>
      </c>
      <c r="S37" s="174">
        <f>K28</f>
        <v>0.7</v>
      </c>
      <c r="T37" s="170" t="s">
        <v>23</v>
      </c>
    </row>
    <row r="38" spans="3:21" x14ac:dyDescent="0.2">
      <c r="G38" s="168" t="s">
        <v>76</v>
      </c>
      <c r="H38" s="162"/>
      <c r="I38" s="162"/>
      <c r="J38" s="162"/>
      <c r="K38" s="164">
        <v>0.7</v>
      </c>
      <c r="M38" s="207" t="s">
        <v>77</v>
      </c>
      <c r="N38" s="208">
        <f>S51</f>
        <v>7.1428571428571432</v>
      </c>
      <c r="O38" s="208">
        <f>ROUNDUP(N38/4,0)</f>
        <v>2</v>
      </c>
      <c r="P38" s="209">
        <f>ROUNDUP(O38/5,0)</f>
        <v>1</v>
      </c>
      <c r="R38" s="131" t="s">
        <v>78</v>
      </c>
      <c r="S38" s="179">
        <f>1/S37</f>
        <v>1.4285714285714286</v>
      </c>
      <c r="T38" s="136"/>
    </row>
    <row r="39" spans="3:21" ht="19.5" customHeight="1" x14ac:dyDescent="0.2">
      <c r="G39" s="161" t="s">
        <v>79</v>
      </c>
      <c r="H39" s="162"/>
      <c r="I39" s="162"/>
      <c r="J39" s="162"/>
      <c r="K39" s="164">
        <v>0.7</v>
      </c>
      <c r="M39" s="207" t="s">
        <v>80</v>
      </c>
      <c r="N39" s="208">
        <f>S55</f>
        <v>5</v>
      </c>
      <c r="O39" s="208">
        <f>ROUNDUP(N39/4,0)</f>
        <v>2</v>
      </c>
      <c r="P39" s="209">
        <f>ROUNDUP(O39/5,0)</f>
        <v>1</v>
      </c>
      <c r="R39" s="173" t="s">
        <v>81</v>
      </c>
      <c r="S39" s="179">
        <f>IFERROR(S25/S27,"")</f>
        <v>89.28</v>
      </c>
      <c r="T39" s="136"/>
    </row>
    <row r="40" spans="3:21" ht="13.5" thickBot="1" x14ac:dyDescent="0.25">
      <c r="E40" s="187"/>
      <c r="G40" s="186" t="s">
        <v>82</v>
      </c>
      <c r="H40" s="176"/>
      <c r="I40" s="176"/>
      <c r="J40" s="176"/>
      <c r="K40" s="241" t="str">
        <f>IF(S50&gt;D10,"Não, número de clientes insuficiêntes","Sim")</f>
        <v>Sim</v>
      </c>
      <c r="M40" s="211" t="s">
        <v>83</v>
      </c>
      <c r="N40" s="212">
        <f>S48</f>
        <v>232758.62068965516</v>
      </c>
      <c r="O40" s="213"/>
      <c r="P40" s="214"/>
      <c r="R40" s="173" t="s">
        <v>84</v>
      </c>
      <c r="S40" s="239">
        <f>ROUNDUP(S39/D24,0)</f>
        <v>8</v>
      </c>
      <c r="T40" s="136"/>
    </row>
    <row r="41" spans="3:21" ht="13.5" thickBot="1" x14ac:dyDescent="0.25">
      <c r="J41" s="345" t="s">
        <v>85</v>
      </c>
      <c r="K41" s="345"/>
      <c r="M41" s="216"/>
      <c r="N41" s="215"/>
      <c r="O41" s="187"/>
      <c r="P41" s="187"/>
      <c r="R41" s="142" t="s">
        <v>86</v>
      </c>
      <c r="S41" s="236">
        <f>IFERROR(S40/S29,"")</f>
        <v>0.13793103448275862</v>
      </c>
      <c r="T41" s="144"/>
    </row>
    <row r="42" spans="3:21" ht="13.5" thickBot="1" x14ac:dyDescent="0.25">
      <c r="O42" s="187"/>
      <c r="P42" s="187"/>
    </row>
    <row r="43" spans="3:21" ht="13.5" thickBot="1" x14ac:dyDescent="0.25">
      <c r="G43" s="112"/>
      <c r="H43" s="112"/>
      <c r="I43" s="112"/>
      <c r="J43" s="112"/>
      <c r="K43" s="253"/>
      <c r="M43" s="222" t="s">
        <v>63</v>
      </c>
      <c r="N43" s="223">
        <f>(D30*D31)/D24</f>
        <v>558000</v>
      </c>
    </row>
    <row r="45" spans="3:21" x14ac:dyDescent="0.2">
      <c r="M45" s="222" t="s">
        <v>87</v>
      </c>
      <c r="N45" s="223">
        <f>N32+N43</f>
        <v>2790000</v>
      </c>
      <c r="R45" s="150" t="s">
        <v>88</v>
      </c>
      <c r="S45" s="151" t="s">
        <v>89</v>
      </c>
      <c r="T45" s="127" t="s">
        <v>12</v>
      </c>
    </row>
    <row r="46" spans="3:21" x14ac:dyDescent="0.2">
      <c r="G46" s="343" t="s">
        <v>90</v>
      </c>
      <c r="H46" s="343"/>
      <c r="I46" s="343"/>
      <c r="J46" s="343"/>
      <c r="K46" s="344"/>
      <c r="R46" s="159" t="s">
        <v>91</v>
      </c>
      <c r="S46" s="160">
        <f>D33</f>
        <v>6696000</v>
      </c>
      <c r="T46" s="130"/>
    </row>
    <row r="47" spans="3:21" ht="13.5" thickBot="1" x14ac:dyDescent="0.25">
      <c r="G47" s="341" t="s">
        <v>92</v>
      </c>
      <c r="H47" s="341"/>
      <c r="I47" s="341"/>
      <c r="J47" s="341"/>
      <c r="K47" s="342"/>
      <c r="R47" s="131" t="s">
        <v>93</v>
      </c>
      <c r="S47" s="166">
        <f>IFERROR(S46/D24,"")</f>
        <v>558000</v>
      </c>
      <c r="T47" s="133"/>
    </row>
    <row r="48" spans="3:21" x14ac:dyDescent="0.2">
      <c r="G48" s="189" t="s">
        <v>94</v>
      </c>
      <c r="H48" s="190" t="s">
        <v>95</v>
      </c>
      <c r="I48" s="190" t="s">
        <v>96</v>
      </c>
      <c r="J48" s="191" t="s">
        <v>97</v>
      </c>
      <c r="K48" s="127" t="s">
        <v>98</v>
      </c>
      <c r="N48" s="249"/>
      <c r="Q48" s="197"/>
      <c r="R48" s="131" t="s">
        <v>99</v>
      </c>
      <c r="S48" s="166">
        <f>D13</f>
        <v>232758.62068965516</v>
      </c>
      <c r="T48" s="133"/>
    </row>
    <row r="49" spans="3:20" x14ac:dyDescent="0.2">
      <c r="G49" s="192" t="s">
        <v>100</v>
      </c>
      <c r="H49" s="193">
        <v>1E-3</v>
      </c>
      <c r="I49" s="194">
        <v>0.25</v>
      </c>
      <c r="J49" s="195">
        <f t="shared" ref="J49:J57" si="0">I49*$D$27</f>
        <v>11250000</v>
      </c>
      <c r="K49" s="196">
        <f>J49*H49/12</f>
        <v>937.5</v>
      </c>
      <c r="R49" s="131" t="s">
        <v>101</v>
      </c>
      <c r="S49" s="174">
        <f>K38</f>
        <v>0.7</v>
      </c>
      <c r="T49" s="133" t="s">
        <v>23</v>
      </c>
    </row>
    <row r="50" spans="3:20" x14ac:dyDescent="0.2">
      <c r="G50" s="198" t="s">
        <v>102</v>
      </c>
      <c r="H50" s="199">
        <v>3.0000000000000001E-3</v>
      </c>
      <c r="I50" s="200">
        <v>0.25</v>
      </c>
      <c r="J50" s="201">
        <f t="shared" si="0"/>
        <v>11250000</v>
      </c>
      <c r="K50" s="202">
        <f t="shared" ref="K50:K56" si="1">J50*H50/12</f>
        <v>2812.5</v>
      </c>
      <c r="R50" s="173" t="s">
        <v>103</v>
      </c>
      <c r="S50" s="238">
        <f>S55/S49*D24</f>
        <v>85.714285714285722</v>
      </c>
      <c r="T50" s="133"/>
    </row>
    <row r="51" spans="3:20" x14ac:dyDescent="0.2">
      <c r="G51" s="198" t="s">
        <v>104</v>
      </c>
      <c r="H51" s="199">
        <v>2E-3</v>
      </c>
      <c r="I51" s="200">
        <v>0.04</v>
      </c>
      <c r="J51" s="201">
        <f t="shared" si="0"/>
        <v>1800000</v>
      </c>
      <c r="K51" s="202">
        <f t="shared" si="1"/>
        <v>300</v>
      </c>
      <c r="Q51" s="206"/>
      <c r="R51" s="173" t="s">
        <v>105</v>
      </c>
      <c r="S51" s="239">
        <f>S50/D24</f>
        <v>7.1428571428571432</v>
      </c>
      <c r="T51" s="133"/>
    </row>
    <row r="52" spans="3:20" x14ac:dyDescent="0.2">
      <c r="G52" s="198" t="s">
        <v>106</v>
      </c>
      <c r="H52" s="199">
        <v>0</v>
      </c>
      <c r="I52" s="200">
        <v>0.01</v>
      </c>
      <c r="J52" s="201">
        <f t="shared" si="0"/>
        <v>450000</v>
      </c>
      <c r="K52" s="202">
        <f t="shared" si="1"/>
        <v>0</v>
      </c>
      <c r="Q52" s="210"/>
      <c r="R52" s="173" t="s">
        <v>107</v>
      </c>
      <c r="S52" s="239">
        <f>ROUNDUP((S51/22),)</f>
        <v>1</v>
      </c>
      <c r="T52" s="133"/>
    </row>
    <row r="53" spans="3:20" x14ac:dyDescent="0.2">
      <c r="G53" s="198" t="s">
        <v>108</v>
      </c>
      <c r="H53" s="199">
        <v>6.0000000000000001E-3</v>
      </c>
      <c r="I53" s="200">
        <v>0.21</v>
      </c>
      <c r="J53" s="201">
        <f t="shared" si="0"/>
        <v>9450000</v>
      </c>
      <c r="K53" s="202">
        <f t="shared" si="1"/>
        <v>4725</v>
      </c>
      <c r="Q53" s="210"/>
      <c r="R53" s="131" t="s">
        <v>109</v>
      </c>
      <c r="S53" s="174">
        <f>K39</f>
        <v>0.7</v>
      </c>
      <c r="T53" s="133" t="s">
        <v>23</v>
      </c>
    </row>
    <row r="54" spans="3:20" x14ac:dyDescent="0.2">
      <c r="G54" s="198" t="s">
        <v>110</v>
      </c>
      <c r="H54" s="199">
        <v>2E-3</v>
      </c>
      <c r="I54" s="200">
        <v>0.1</v>
      </c>
      <c r="J54" s="201">
        <f t="shared" si="0"/>
        <v>4500000</v>
      </c>
      <c r="K54" s="202">
        <f t="shared" si="1"/>
        <v>750</v>
      </c>
      <c r="Q54" s="210"/>
      <c r="R54" s="131" t="s">
        <v>111</v>
      </c>
      <c r="S54" s="179">
        <f>1/S53</f>
        <v>1.4285714285714286</v>
      </c>
      <c r="T54" s="133"/>
    </row>
    <row r="55" spans="3:20" x14ac:dyDescent="0.2">
      <c r="G55" s="198" t="s">
        <v>112</v>
      </c>
      <c r="H55" s="199">
        <v>4.0000000000000001E-3</v>
      </c>
      <c r="I55" s="200">
        <v>0.02</v>
      </c>
      <c r="J55" s="201">
        <f t="shared" si="0"/>
        <v>900000</v>
      </c>
      <c r="K55" s="202">
        <f t="shared" si="1"/>
        <v>300</v>
      </c>
      <c r="Q55" s="215"/>
      <c r="R55" s="173" t="s">
        <v>113</v>
      </c>
      <c r="S55" s="239">
        <f>IFERROR(ROUNDUP(S54*S57,0),"")</f>
        <v>5</v>
      </c>
      <c r="T55" s="133"/>
    </row>
    <row r="56" spans="3:20" ht="14.45" customHeight="1" x14ac:dyDescent="0.2">
      <c r="G56" s="198" t="s">
        <v>114</v>
      </c>
      <c r="H56" s="199">
        <v>1.5E-3</v>
      </c>
      <c r="I56" s="200">
        <v>0.02</v>
      </c>
      <c r="J56" s="201">
        <f t="shared" si="0"/>
        <v>900000</v>
      </c>
      <c r="K56" s="202">
        <f t="shared" si="1"/>
        <v>112.5</v>
      </c>
      <c r="Q56" s="215"/>
      <c r="R56" s="173" t="s">
        <v>115</v>
      </c>
      <c r="S56" s="179">
        <f>IFERROR(S46/S48,"")</f>
        <v>28.768000000000001</v>
      </c>
      <c r="T56" s="133"/>
    </row>
    <row r="57" spans="3:20" x14ac:dyDescent="0.2">
      <c r="G57" s="198" t="s">
        <v>116</v>
      </c>
      <c r="H57" s="199">
        <v>1.4999999999999999E-2</v>
      </c>
      <c r="I57" s="200">
        <v>0.1</v>
      </c>
      <c r="J57" s="201">
        <f t="shared" si="0"/>
        <v>4500000</v>
      </c>
      <c r="K57" s="202">
        <f>J57*H57/12</f>
        <v>5625</v>
      </c>
      <c r="Q57" s="215"/>
      <c r="R57" s="173" t="s">
        <v>117</v>
      </c>
      <c r="S57" s="239">
        <f>ROUNDUP(S56/D24,0)</f>
        <v>3</v>
      </c>
      <c r="T57" s="133"/>
    </row>
    <row r="58" spans="3:20" ht="14.45" customHeight="1" x14ac:dyDescent="0.2">
      <c r="C58" s="187"/>
      <c r="D58" s="187"/>
      <c r="E58" s="187"/>
      <c r="G58" s="217" t="s">
        <v>118</v>
      </c>
      <c r="H58" s="218">
        <f>SUMPRODUCT(H49:H57,I49:I57)/SUM(I49:I56)</f>
        <v>4.6111111111111118E-3</v>
      </c>
      <c r="I58" s="219">
        <f>SUM(I49:I57)</f>
        <v>1</v>
      </c>
      <c r="J58" s="220">
        <f>SUM(J49:J57)</f>
        <v>45000000</v>
      </c>
      <c r="K58" s="221">
        <f>SUM(K49:K57)</f>
        <v>15562.5</v>
      </c>
      <c r="R58" s="131" t="s">
        <v>119</v>
      </c>
      <c r="S58" s="182">
        <f>IFERROR(S57/S51,"")</f>
        <v>0.42</v>
      </c>
      <c r="T58" s="133"/>
    </row>
    <row r="59" spans="3:20" ht="13.5" thickBot="1" x14ac:dyDescent="0.25">
      <c r="G59" s="224"/>
      <c r="H59" s="225" t="s">
        <v>120</v>
      </c>
      <c r="I59" s="226" t="str">
        <f>IF(I58=100%,"OK","Não compatível")</f>
        <v>OK</v>
      </c>
      <c r="J59" s="227" t="s">
        <v>121</v>
      </c>
      <c r="K59" s="240">
        <f>(K58/J58)*12</f>
        <v>4.15E-3</v>
      </c>
      <c r="R59" s="183"/>
      <c r="S59" s="184"/>
      <c r="T59" s="185"/>
    </row>
    <row r="60" spans="3:20" s="187" customFormat="1" ht="15.6" customHeight="1" thickBot="1" x14ac:dyDescent="0.25">
      <c r="C60" s="85"/>
      <c r="D60" s="85"/>
      <c r="E60" s="85"/>
      <c r="G60" s="85"/>
      <c r="H60" s="228"/>
      <c r="I60" s="229"/>
      <c r="J60" s="230" t="s">
        <v>122</v>
      </c>
      <c r="K60" s="231">
        <f>D26</f>
        <v>4.0000000000000001E-3</v>
      </c>
      <c r="Q60" s="215"/>
      <c r="S60" s="234"/>
    </row>
    <row r="61" spans="3:20" ht="15" customHeight="1" thickBot="1" x14ac:dyDescent="0.25">
      <c r="J61" s="232" t="s">
        <v>123</v>
      </c>
      <c r="K61" s="233" t="str">
        <f>IF(K59&gt;=K60,"OK","Não compatível")</f>
        <v>OK</v>
      </c>
      <c r="S61" s="235"/>
    </row>
    <row r="62" spans="3:20" ht="15" customHeight="1" x14ac:dyDescent="0.2">
      <c r="S62" s="235"/>
    </row>
    <row r="63" spans="3:20" ht="15" customHeight="1" x14ac:dyDescent="0.2">
      <c r="G63" s="187"/>
      <c r="H63" s="187"/>
      <c r="I63" s="187"/>
      <c r="J63" s="187"/>
      <c r="K63" s="187"/>
      <c r="S63" s="235"/>
    </row>
    <row r="64" spans="3:20" ht="15.75" customHeight="1" x14ac:dyDescent="0.2"/>
    <row r="65" spans="16:17" ht="15" customHeight="1" x14ac:dyDescent="0.2"/>
    <row r="66" spans="16:17" ht="15" customHeight="1" x14ac:dyDescent="0.2"/>
    <row r="67" spans="16:17" ht="15" customHeight="1" x14ac:dyDescent="0.2"/>
    <row r="68" spans="16:17" ht="14.25" customHeight="1" x14ac:dyDescent="0.2"/>
    <row r="69" spans="16:17" ht="14.25" customHeight="1" x14ac:dyDescent="0.2"/>
    <row r="70" spans="16:17" ht="14.25" customHeight="1" x14ac:dyDescent="0.2"/>
    <row r="71" spans="16:17" ht="14.25" customHeight="1" x14ac:dyDescent="0.2"/>
    <row r="72" spans="16:17" ht="15" customHeight="1" x14ac:dyDescent="0.2"/>
    <row r="73" spans="16:17" ht="14.65" customHeight="1" x14ac:dyDescent="0.2"/>
    <row r="74" spans="16:17" ht="14.65" customHeight="1" x14ac:dyDescent="0.2"/>
    <row r="75" spans="16:17" ht="14.65" customHeight="1" x14ac:dyDescent="0.2"/>
    <row r="76" spans="16:17" ht="14.65" customHeight="1" x14ac:dyDescent="0.2"/>
    <row r="77" spans="16:17" ht="15" customHeight="1" x14ac:dyDescent="0.2"/>
    <row r="78" spans="16:17" ht="14.45" customHeight="1" x14ac:dyDescent="0.2"/>
    <row r="79" spans="16:17" ht="14.45" customHeight="1" x14ac:dyDescent="0.2"/>
    <row r="80" spans="16:17" x14ac:dyDescent="0.2">
      <c r="P80" s="86"/>
      <c r="Q80" s="111"/>
    </row>
    <row r="81" spans="18:18" ht="15.6" customHeight="1" x14ac:dyDescent="0.2"/>
    <row r="82" spans="18:18" ht="15.6" customHeight="1" x14ac:dyDescent="0.2"/>
    <row r="83" spans="18:18" ht="15.6" customHeight="1" x14ac:dyDescent="0.2">
      <c r="R83" s="188"/>
    </row>
    <row r="84" spans="18:18" ht="15.6" customHeight="1" x14ac:dyDescent="0.2"/>
    <row r="85" spans="18:18" ht="15.95" customHeight="1" x14ac:dyDescent="0.2"/>
  </sheetData>
  <sheetProtection selectLockedCells="1"/>
  <mergeCells count="17">
    <mergeCell ref="W5:AC6"/>
    <mergeCell ref="W8:AC9"/>
    <mergeCell ref="C8:D8"/>
    <mergeCell ref="G22:K22"/>
    <mergeCell ref="R22:T22"/>
    <mergeCell ref="M22:P22"/>
    <mergeCell ref="M35:P35"/>
    <mergeCell ref="C23:D23"/>
    <mergeCell ref="G35:K35"/>
    <mergeCell ref="C7:E7"/>
    <mergeCell ref="C22:E22"/>
    <mergeCell ref="M24:P24"/>
    <mergeCell ref="G37:K37"/>
    <mergeCell ref="G24:K24"/>
    <mergeCell ref="G47:K47"/>
    <mergeCell ref="G46:K46"/>
    <mergeCell ref="J41:K41"/>
  </mergeCells>
  <conditionalFormatting sqref="I59">
    <cfRule type="containsText" dxfId="39" priority="17" operator="containsText" text="Não compatível">
      <formula>NOT(ISERROR(SEARCH("Não compatível",I59)))</formula>
    </cfRule>
    <cfRule type="containsText" dxfId="38" priority="18" operator="containsText" text="OK">
      <formula>NOT(ISERROR(SEARCH("OK",I59)))</formula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{6E100A82-735E-48E0-A505-AB00C6C99CC9}</x14:id>
        </ext>
      </extLst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1">
    <cfRule type="cellIs" dxfId="37" priority="1" operator="equal">
      <formula>"Sim"</formula>
    </cfRule>
    <cfRule type="cellIs" dxfId="36" priority="2" operator="equal">
      <formula xml:space="preserve"> "Não, número de clientes insuficiêntes"</formula>
    </cfRule>
  </conditionalFormatting>
  <conditionalFormatting sqref="K40">
    <cfRule type="cellIs" dxfId="35" priority="7" operator="equal">
      <formula>"Sim"</formula>
    </cfRule>
    <cfRule type="cellIs" dxfId="34" priority="8" operator="equal">
      <formula xml:space="preserve"> "Não, número de clientes insuficiêntes"</formula>
    </cfRule>
  </conditionalFormatting>
  <conditionalFormatting sqref="K61">
    <cfRule type="containsText" dxfId="33" priority="13" operator="containsText" text="Não compatível">
      <formula>NOT(ISERROR(SEARCH("Não compatível",K61)))</formula>
    </cfRule>
    <cfRule type="containsText" dxfId="32" priority="14" operator="containsText" text="OK">
      <formula>NOT(ISERROR(SEARCH("OK",K61)))</formula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{8DFF3AEF-8CC4-453F-8EA7-05AF2543A2F9}</x14:id>
        </ext>
      </extLst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errorStyle="warning" operator="greaterThanOrEqual" allowBlank="1" showInputMessage="1" showErrorMessage="1" errorTitle="Lembrete" error="Contas &lt;300 K representam apenas 14% da receita, 17% do NET e 72% dos CPFs._x000a_Contas &lt;100 K representam apenas 3% da receita, 4% do NET e 48% dos CPFs._x000a_*Data Base: 29/05/20_x000a_Sugestão: focar no cliente de, no mínimo, 300 K!" sqref="S27 K40 K29 K31" xr:uid="{C09FEFA3-E45A-447D-ABE2-8B5A28BC3889}">
      <formula1>300000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&amp;R_x000D_&amp;1#&amp;"Calibri"&amp;10&amp;K008000 [ CLASSIFICAÇÃO: PÚBLICA ]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100A82-735E-48E0-A505-AB00C6C99C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I59</xm:sqref>
        </x14:conditionalFormatting>
        <x14:conditionalFormatting xmlns:xm="http://schemas.microsoft.com/office/excel/2006/main">
          <x14:cfRule type="dataBar" id="{8DFF3AEF-8CC4-453F-8EA7-05AF2543A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83CE-3C19-4DB6-8248-086B9088A2C3}">
  <sheetPr codeName="Planilha6">
    <tabColor theme="1" tint="0.499984740745262"/>
  </sheetPr>
  <dimension ref="G1:M31"/>
  <sheetViews>
    <sheetView zoomScaleNormal="100" workbookViewId="0">
      <selection activeCell="T26" sqref="T26"/>
    </sheetView>
  </sheetViews>
  <sheetFormatPr defaultColWidth="8.7109375" defaultRowHeight="15" x14ac:dyDescent="0.25"/>
  <cols>
    <col min="1" max="1" width="2.7109375" style="1" customWidth="1"/>
    <col min="2" max="16384" width="8.7109375" style="1"/>
  </cols>
  <sheetData>
    <row r="1" spans="13:13" ht="5.25" customHeight="1" x14ac:dyDescent="0.25"/>
    <row r="5" spans="13:13" x14ac:dyDescent="0.25">
      <c r="M5" s="2"/>
    </row>
    <row r="6" spans="13:13" x14ac:dyDescent="0.25">
      <c r="M6" s="2"/>
    </row>
    <row r="7" spans="13:13" x14ac:dyDescent="0.25">
      <c r="M7" s="2"/>
    </row>
    <row r="8" spans="13:13" x14ac:dyDescent="0.25">
      <c r="M8" s="2"/>
    </row>
    <row r="18" spans="7:13" x14ac:dyDescent="0.25">
      <c r="G18" s="2">
        <f>'1. Plano Comercial'!S32/'1. Plano Comercial'!S29</f>
        <v>0.5</v>
      </c>
    </row>
    <row r="19" spans="7:13" x14ac:dyDescent="0.25">
      <c r="H19" s="3"/>
    </row>
    <row r="21" spans="7:13" x14ac:dyDescent="0.25">
      <c r="M21" s="4">
        <f>'1. Plano Comercial'!S34/'1. Plano Comercial'!S32</f>
        <v>0.68965517241379315</v>
      </c>
    </row>
    <row r="23" spans="7:13" x14ac:dyDescent="0.25">
      <c r="M23" s="3"/>
    </row>
    <row r="25" spans="7:13" x14ac:dyDescent="0.25">
      <c r="H25" s="5">
        <f>'1. Plano Comercial'!S36/'1. Plano Comercial'!S34</f>
        <v>0.6</v>
      </c>
    </row>
    <row r="26" spans="7:13" x14ac:dyDescent="0.25">
      <c r="H26" s="3"/>
    </row>
    <row r="28" spans="7:13" x14ac:dyDescent="0.25">
      <c r="M28" s="6">
        <f>'1. Plano Comercial'!S40/'1. Plano Comercial'!S36</f>
        <v>0.66666666666666663</v>
      </c>
    </row>
    <row r="29" spans="7:13" x14ac:dyDescent="0.25">
      <c r="M29" s="3"/>
    </row>
    <row r="31" spans="7:13" x14ac:dyDescent="0.25">
      <c r="H31" s="7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&amp;R_x000D_&amp;1#&amp;"Calibri"&amp;10&amp;K008000 [ CLASSIFICAÇÃO: PÚBLICA ]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8DB1-3D19-43C0-9A82-D22C9D498550}">
  <sheetPr>
    <tabColor theme="1"/>
  </sheetPr>
  <dimension ref="B1:AD44"/>
  <sheetViews>
    <sheetView showGridLines="0" zoomScale="70" zoomScaleNormal="70" workbookViewId="0">
      <selection activeCell="L20" sqref="L20"/>
    </sheetView>
  </sheetViews>
  <sheetFormatPr defaultColWidth="8.7109375" defaultRowHeight="15" customHeight="1" x14ac:dyDescent="0.25"/>
  <cols>
    <col min="1" max="1" width="8.7109375" customWidth="1"/>
    <col min="2" max="2" width="39.140625" customWidth="1"/>
    <col min="3" max="3" width="38.28515625" bestFit="1" customWidth="1"/>
    <col min="4" max="4" width="26" bestFit="1" customWidth="1"/>
    <col min="5" max="5" width="23.28515625" bestFit="1" customWidth="1"/>
    <col min="6" max="6" width="16.7109375" customWidth="1"/>
    <col min="7" max="7" width="20.7109375" customWidth="1"/>
    <col min="8" max="8" width="61.28515625" customWidth="1"/>
    <col min="9" max="9" width="21" style="82" customWidth="1"/>
    <col min="10" max="10" width="20.28515625" bestFit="1" customWidth="1"/>
    <col min="11" max="11" width="22" customWidth="1"/>
    <col min="12" max="12" width="20.5703125" customWidth="1"/>
    <col min="13" max="13" width="22" customWidth="1"/>
    <col min="14" max="14" width="19.42578125" customWidth="1"/>
    <col min="15" max="15" width="21" customWidth="1"/>
    <col min="16" max="16" width="18.7109375" customWidth="1"/>
    <col min="17" max="17" width="19.5703125" customWidth="1"/>
    <col min="18" max="18" width="1.7109375" customWidth="1"/>
    <col min="19" max="20" width="19.5703125" customWidth="1"/>
    <col min="21" max="21" width="26.5703125" bestFit="1" customWidth="1"/>
    <col min="22" max="22" width="28.42578125" bestFit="1" customWidth="1"/>
    <col min="23" max="23" width="22.28515625" bestFit="1" customWidth="1"/>
    <col min="24" max="24" width="22.7109375" bestFit="1" customWidth="1"/>
    <col min="25" max="25" width="20.28515625" bestFit="1" customWidth="1"/>
    <col min="26" max="26" width="5.85546875" customWidth="1"/>
    <col min="27" max="27" width="21.28515625" bestFit="1" customWidth="1"/>
    <col min="28" max="28" width="22.28515625" bestFit="1" customWidth="1"/>
    <col min="29" max="29" width="22.7109375" bestFit="1" customWidth="1"/>
    <col min="30" max="30" width="20.28515625" bestFit="1" customWidth="1"/>
    <col min="31" max="31" width="20.5703125" customWidth="1"/>
    <col min="37" max="37" width="8.7109375" customWidth="1"/>
  </cols>
  <sheetData>
    <row r="1" spans="2:30" ht="15.75" thickBot="1" x14ac:dyDescent="0.3"/>
    <row r="2" spans="2:30" ht="15.75" x14ac:dyDescent="0.25">
      <c r="B2" s="11" t="s">
        <v>3</v>
      </c>
      <c r="C2" s="12"/>
      <c r="D2" s="13"/>
      <c r="E2" s="13"/>
      <c r="F2" s="13"/>
      <c r="G2" s="14"/>
      <c r="H2" s="11" t="s">
        <v>4</v>
      </c>
      <c r="I2" s="12"/>
      <c r="J2" s="13"/>
      <c r="K2" s="13"/>
      <c r="L2" s="13"/>
      <c r="M2" s="14"/>
    </row>
    <row r="3" spans="2:30" ht="15.75" x14ac:dyDescent="0.25">
      <c r="B3" s="15" t="s">
        <v>124</v>
      </c>
      <c r="C3" s="16"/>
      <c r="D3" s="16"/>
      <c r="E3" s="16"/>
      <c r="F3" s="16"/>
      <c r="G3" s="17"/>
      <c r="H3" s="18" t="s">
        <v>125</v>
      </c>
      <c r="I3" s="83"/>
      <c r="J3" s="16"/>
      <c r="K3" s="16"/>
      <c r="L3" s="16"/>
      <c r="M3" s="17"/>
    </row>
    <row r="4" spans="2:30" ht="15.75" x14ac:dyDescent="0.25">
      <c r="B4" s="15" t="s">
        <v>126</v>
      </c>
      <c r="C4" s="16"/>
      <c r="D4" s="16"/>
      <c r="E4" s="16"/>
      <c r="F4" s="16"/>
      <c r="G4" s="17"/>
      <c r="H4" s="18" t="s">
        <v>127</v>
      </c>
      <c r="I4" s="83"/>
      <c r="J4" s="16"/>
      <c r="K4" s="16"/>
      <c r="L4" s="16"/>
      <c r="M4" s="17"/>
    </row>
    <row r="5" spans="2:30" ht="16.5" thickBot="1" x14ac:dyDescent="0.3">
      <c r="B5" s="19" t="s">
        <v>128</v>
      </c>
      <c r="C5" s="20"/>
      <c r="D5" s="20"/>
      <c r="E5" s="20"/>
      <c r="F5" s="20"/>
      <c r="G5" s="21"/>
      <c r="H5" s="22" t="s">
        <v>129</v>
      </c>
      <c r="I5" s="60"/>
      <c r="J5" s="20"/>
      <c r="K5" s="20"/>
      <c r="L5" s="20"/>
      <c r="M5" s="21"/>
      <c r="N5" s="25"/>
      <c r="O5" s="25"/>
      <c r="P5" s="25"/>
      <c r="Q5" s="25"/>
      <c r="R5" s="25"/>
      <c r="S5" s="25"/>
      <c r="T5" s="25"/>
    </row>
    <row r="6" spans="2:30" x14ac:dyDescent="0.25">
      <c r="N6" s="25"/>
      <c r="O6" s="25"/>
      <c r="P6" s="25"/>
      <c r="Q6" s="25"/>
      <c r="R6" s="25"/>
      <c r="S6" s="25"/>
      <c r="T6" s="25"/>
    </row>
    <row r="7" spans="2:30" ht="7.5" customHeight="1" x14ac:dyDescent="0.25">
      <c r="B7" s="26"/>
      <c r="C7" s="26"/>
      <c r="D7" s="26"/>
      <c r="E7" s="26"/>
      <c r="F7" s="26"/>
      <c r="G7" s="26"/>
      <c r="H7" s="26"/>
      <c r="I7" s="81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8" spans="2:30" ht="32.25" customHeight="1" thickBot="1" x14ac:dyDescent="0.3">
      <c r="B8" s="354" t="s">
        <v>130</v>
      </c>
      <c r="C8" s="354"/>
      <c r="D8" s="354"/>
      <c r="E8" s="354"/>
      <c r="F8" s="354"/>
      <c r="G8" s="354"/>
      <c r="H8" s="354"/>
      <c r="I8" s="354"/>
      <c r="J8" s="354"/>
      <c r="K8" s="354"/>
      <c r="L8" s="354"/>
      <c r="M8" s="354"/>
      <c r="N8" s="354"/>
      <c r="O8" s="354"/>
      <c r="P8" s="354"/>
      <c r="Q8" s="354"/>
      <c r="R8" s="354"/>
      <c r="S8" s="354"/>
      <c r="T8" s="354"/>
    </row>
    <row r="9" spans="2:30" ht="35.25" customHeight="1" thickBot="1" x14ac:dyDescent="0.3">
      <c r="B9" s="27" t="s">
        <v>131</v>
      </c>
      <c r="C9" s="27" t="s">
        <v>132</v>
      </c>
      <c r="D9" s="27" t="s">
        <v>133</v>
      </c>
      <c r="E9" s="28" t="s">
        <v>134</v>
      </c>
      <c r="F9" s="27" t="s">
        <v>135</v>
      </c>
      <c r="G9" s="27" t="s">
        <v>136</v>
      </c>
      <c r="H9" s="27" t="s">
        <v>137</v>
      </c>
      <c r="I9" s="29" t="s">
        <v>138</v>
      </c>
      <c r="J9" s="30" t="s">
        <v>139</v>
      </c>
      <c r="K9" s="31" t="s">
        <v>140</v>
      </c>
      <c r="L9" s="29" t="s">
        <v>141</v>
      </c>
      <c r="M9" s="31" t="s">
        <v>142</v>
      </c>
      <c r="N9" s="110" t="s">
        <v>143</v>
      </c>
      <c r="O9" s="372" t="s">
        <v>144</v>
      </c>
      <c r="P9" s="373"/>
      <c r="Q9" s="374"/>
      <c r="R9" s="109"/>
      <c r="S9" s="372" t="s">
        <v>145</v>
      </c>
      <c r="T9" s="374"/>
    </row>
    <row r="10" spans="2:30" ht="35.25" customHeight="1" x14ac:dyDescent="0.25">
      <c r="B10" s="358"/>
      <c r="C10" s="358"/>
      <c r="D10" s="358"/>
      <c r="E10" s="358"/>
      <c r="F10" s="366"/>
      <c r="G10" s="358"/>
      <c r="H10" s="368"/>
      <c r="I10" s="358"/>
      <c r="J10" s="370"/>
      <c r="K10" s="360">
        <f>J10*I10</f>
        <v>0</v>
      </c>
      <c r="L10" s="362"/>
      <c r="M10" s="360">
        <f>L10*K10</f>
        <v>0</v>
      </c>
      <c r="N10" s="364">
        <f>M10/($C$31+$C$42)</f>
        <v>0</v>
      </c>
      <c r="O10" s="88" t="s">
        <v>146</v>
      </c>
      <c r="P10" s="98" t="s">
        <v>147</v>
      </c>
      <c r="Q10" s="89" t="s">
        <v>148</v>
      </c>
      <c r="R10" s="105"/>
      <c r="S10" s="88" t="s">
        <v>149</v>
      </c>
      <c r="T10" s="89" t="s">
        <v>150</v>
      </c>
    </row>
    <row r="11" spans="2:30" s="8" customFormat="1" ht="15.75" x14ac:dyDescent="0.25">
      <c r="B11" s="359"/>
      <c r="C11" s="359"/>
      <c r="D11" s="359"/>
      <c r="E11" s="359"/>
      <c r="F11" s="367"/>
      <c r="G11" s="359"/>
      <c r="H11" s="369"/>
      <c r="I11" s="359"/>
      <c r="J11" s="371"/>
      <c r="K11" s="361"/>
      <c r="L11" s="363"/>
      <c r="M11" s="361"/>
      <c r="N11" s="365"/>
      <c r="O11" s="90">
        <f>I10*L10</f>
        <v>0</v>
      </c>
      <c r="P11" s="56">
        <f>O11*'1. Plano Comercial'!S31</f>
        <v>0</v>
      </c>
      <c r="Q11" s="91">
        <f>P11*'1. Plano Comercial'!S33</f>
        <v>0</v>
      </c>
      <c r="R11" s="94"/>
      <c r="S11" s="100">
        <v>0</v>
      </c>
      <c r="T11" s="101">
        <v>0</v>
      </c>
      <c r="U11"/>
      <c r="V11"/>
      <c r="W11"/>
      <c r="X11"/>
      <c r="Y11"/>
      <c r="Z11"/>
      <c r="AA11"/>
      <c r="AB11"/>
      <c r="AC11"/>
      <c r="AD11"/>
    </row>
    <row r="12" spans="2:30" s="33" customFormat="1" ht="15.75" x14ac:dyDescent="0.25">
      <c r="B12" s="48"/>
      <c r="C12" s="48"/>
      <c r="D12" s="48"/>
      <c r="E12" s="48"/>
      <c r="F12" s="49"/>
      <c r="G12" s="48"/>
      <c r="H12" s="50"/>
      <c r="I12" s="48"/>
      <c r="J12" s="51"/>
      <c r="K12" s="32">
        <f t="shared" ref="K12:K16" si="0">J12*I12</f>
        <v>0</v>
      </c>
      <c r="L12" s="55"/>
      <c r="M12" s="32">
        <f t="shared" ref="M12:M16" si="1">L12*K12</f>
        <v>0</v>
      </c>
      <c r="N12" s="96">
        <f t="shared" ref="N12:N18" si="2">M12/($C$31+$C$42)</f>
        <v>0</v>
      </c>
      <c r="O12" s="90">
        <f>I12*L12</f>
        <v>0</v>
      </c>
      <c r="P12" s="56">
        <f>O12*L12</f>
        <v>0</v>
      </c>
      <c r="Q12" s="91">
        <f>P12*50%</f>
        <v>0</v>
      </c>
      <c r="R12" s="94"/>
      <c r="S12" s="100">
        <v>0</v>
      </c>
      <c r="T12" s="101">
        <v>0</v>
      </c>
    </row>
    <row r="13" spans="2:30" s="33" customFormat="1" ht="18.75" customHeight="1" x14ac:dyDescent="0.25">
      <c r="B13" s="48"/>
      <c r="C13" s="48"/>
      <c r="D13" s="48"/>
      <c r="E13" s="48"/>
      <c r="F13" s="49"/>
      <c r="G13" s="48"/>
      <c r="H13" s="52"/>
      <c r="I13" s="48"/>
      <c r="J13" s="51"/>
      <c r="K13" s="32">
        <f t="shared" si="0"/>
        <v>0</v>
      </c>
      <c r="L13" s="55"/>
      <c r="M13" s="32">
        <f t="shared" si="1"/>
        <v>0</v>
      </c>
      <c r="N13" s="96">
        <f t="shared" si="2"/>
        <v>0</v>
      </c>
      <c r="O13" s="254">
        <v>0</v>
      </c>
      <c r="P13" s="254">
        <v>0</v>
      </c>
      <c r="Q13" s="255">
        <v>0</v>
      </c>
      <c r="R13" s="94"/>
      <c r="S13" s="102">
        <f>I13*L13</f>
        <v>0</v>
      </c>
      <c r="T13" s="103">
        <f>S13*'1. Plano Comercial'!S49</f>
        <v>0</v>
      </c>
    </row>
    <row r="14" spans="2:30" s="8" customFormat="1" ht="18.75" customHeight="1" x14ac:dyDescent="0.25">
      <c r="B14" s="48"/>
      <c r="C14" s="48"/>
      <c r="D14" s="48"/>
      <c r="E14" s="48"/>
      <c r="F14" s="49"/>
      <c r="G14" s="48"/>
      <c r="H14" s="54"/>
      <c r="I14" s="48"/>
      <c r="J14" s="51"/>
      <c r="K14" s="32">
        <f t="shared" si="0"/>
        <v>0</v>
      </c>
      <c r="L14" s="55"/>
      <c r="M14" s="32">
        <f t="shared" si="1"/>
        <v>0</v>
      </c>
      <c r="N14" s="96">
        <f t="shared" si="2"/>
        <v>0</v>
      </c>
      <c r="O14" s="90">
        <v>0</v>
      </c>
      <c r="P14" s="56">
        <v>0</v>
      </c>
      <c r="Q14" s="91">
        <v>0</v>
      </c>
      <c r="R14" s="94"/>
      <c r="S14" s="102">
        <v>0</v>
      </c>
      <c r="T14" s="103">
        <v>0</v>
      </c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2:30" s="33" customFormat="1" ht="18.75" customHeight="1" x14ac:dyDescent="0.25">
      <c r="B15" s="48"/>
      <c r="C15" s="48"/>
      <c r="D15" s="48"/>
      <c r="E15" s="52"/>
      <c r="F15" s="49"/>
      <c r="G15" s="52"/>
      <c r="H15" s="52"/>
      <c r="I15" s="48"/>
      <c r="J15" s="53"/>
      <c r="K15" s="32">
        <f t="shared" si="0"/>
        <v>0</v>
      </c>
      <c r="L15" s="55"/>
      <c r="M15" s="32">
        <f t="shared" si="1"/>
        <v>0</v>
      </c>
      <c r="N15" s="96">
        <f t="shared" si="2"/>
        <v>0</v>
      </c>
      <c r="O15" s="90">
        <v>0</v>
      </c>
      <c r="P15" s="56">
        <v>0</v>
      </c>
      <c r="Q15" s="91">
        <v>0</v>
      </c>
      <c r="R15" s="94"/>
      <c r="S15" s="102">
        <v>0</v>
      </c>
      <c r="T15" s="103">
        <v>0</v>
      </c>
    </row>
    <row r="16" spans="2:30" s="33" customFormat="1" ht="18.75" customHeight="1" x14ac:dyDescent="0.25">
      <c r="B16" s="48"/>
      <c r="C16" s="48"/>
      <c r="D16" s="48"/>
      <c r="E16" s="52"/>
      <c r="F16" s="49"/>
      <c r="G16" s="52"/>
      <c r="H16" s="52"/>
      <c r="I16" s="48"/>
      <c r="J16" s="53"/>
      <c r="K16" s="32">
        <f t="shared" si="0"/>
        <v>0</v>
      </c>
      <c r="L16" s="55"/>
      <c r="M16" s="32">
        <f t="shared" si="1"/>
        <v>0</v>
      </c>
      <c r="N16" s="96">
        <f t="shared" si="2"/>
        <v>0</v>
      </c>
      <c r="O16" s="90">
        <v>0</v>
      </c>
      <c r="P16" s="56">
        <v>0</v>
      </c>
      <c r="Q16" s="91">
        <v>0</v>
      </c>
      <c r="R16" s="94"/>
      <c r="S16" s="102">
        <v>0</v>
      </c>
      <c r="T16" s="103">
        <v>0</v>
      </c>
    </row>
    <row r="17" spans="2:30" s="33" customFormat="1" ht="22.5" customHeight="1" x14ac:dyDescent="0.25">
      <c r="B17" s="48"/>
      <c r="C17" s="48"/>
      <c r="D17" s="48"/>
      <c r="E17" s="52"/>
      <c r="F17" s="49"/>
      <c r="G17" s="52"/>
      <c r="H17" s="52"/>
      <c r="I17" s="48"/>
      <c r="J17" s="53"/>
      <c r="K17" s="32">
        <f t="shared" ref="K17:K18" si="3">J17*I17</f>
        <v>0</v>
      </c>
      <c r="L17" s="55"/>
      <c r="M17" s="32">
        <f t="shared" ref="M17:M18" si="4">L17*K17</f>
        <v>0</v>
      </c>
      <c r="N17" s="96">
        <f t="shared" si="2"/>
        <v>0</v>
      </c>
      <c r="O17" s="90">
        <v>0</v>
      </c>
      <c r="P17" s="56">
        <v>0</v>
      </c>
      <c r="Q17" s="91">
        <v>0</v>
      </c>
      <c r="R17" s="94"/>
      <c r="S17" s="102">
        <v>0</v>
      </c>
      <c r="T17" s="103">
        <v>0</v>
      </c>
    </row>
    <row r="18" spans="2:30" ht="19.5" customHeight="1" x14ac:dyDescent="0.25">
      <c r="B18" s="48"/>
      <c r="C18" s="48"/>
      <c r="D18" s="48"/>
      <c r="E18" s="52"/>
      <c r="F18" s="49"/>
      <c r="G18" s="52"/>
      <c r="H18" s="52"/>
      <c r="I18" s="48"/>
      <c r="J18" s="53"/>
      <c r="K18" s="32">
        <f t="shared" si="3"/>
        <v>0</v>
      </c>
      <c r="L18" s="55"/>
      <c r="M18" s="32">
        <f t="shared" si="4"/>
        <v>0</v>
      </c>
      <c r="N18" s="96">
        <f t="shared" si="2"/>
        <v>0</v>
      </c>
      <c r="O18" s="90">
        <v>0</v>
      </c>
      <c r="P18" s="56">
        <v>0</v>
      </c>
      <c r="Q18" s="91">
        <v>0</v>
      </c>
      <c r="R18" s="94"/>
      <c r="S18" s="102">
        <v>0</v>
      </c>
      <c r="T18" s="103">
        <v>0</v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2:30" s="33" customFormat="1" ht="19.5" customHeight="1" thickBot="1" x14ac:dyDescent="0.3">
      <c r="H19" s="34" t="s">
        <v>151</v>
      </c>
      <c r="I19" s="35">
        <f>SUM(I10:I15)</f>
        <v>0</v>
      </c>
      <c r="J19" s="36" t="s">
        <v>152</v>
      </c>
      <c r="K19" s="36">
        <f>SUM(K10:K15)</f>
        <v>0</v>
      </c>
      <c r="L19" s="35" t="s">
        <v>152</v>
      </c>
      <c r="M19" s="36">
        <f>SUM(M10:M15)</f>
        <v>0</v>
      </c>
      <c r="N19" s="97">
        <f>SUM(N10:N15)</f>
        <v>0</v>
      </c>
      <c r="O19" s="92">
        <f>SUM(O11:O18)</f>
        <v>0</v>
      </c>
      <c r="P19" s="99">
        <f t="shared" ref="P19:T19" si="5">SUM(P11:P18)</f>
        <v>0</v>
      </c>
      <c r="Q19" s="93">
        <f t="shared" si="5"/>
        <v>0</v>
      </c>
      <c r="R19" s="104"/>
      <c r="S19" s="92">
        <f t="shared" si="5"/>
        <v>0</v>
      </c>
      <c r="T19" s="93">
        <f t="shared" si="5"/>
        <v>0</v>
      </c>
    </row>
    <row r="20" spans="2:30" ht="48.6" customHeight="1" thickBot="1" x14ac:dyDescent="0.3">
      <c r="B20" s="355" t="s">
        <v>153</v>
      </c>
      <c r="C20" s="356"/>
      <c r="D20" s="356"/>
      <c r="E20" s="357"/>
      <c r="N20" s="84" t="s">
        <v>154</v>
      </c>
      <c r="O20" s="106" t="str">
        <f>IF(O19&gt;=C26,"Sim","Não")</f>
        <v>Não</v>
      </c>
      <c r="P20" s="106" t="str">
        <f>IF(P19&gt;=C27,"Sim","Não")</f>
        <v>Não</v>
      </c>
      <c r="Q20" s="107" t="str">
        <f>IF(Q19&gt;=C28,"Sim","Não")</f>
        <v>Não</v>
      </c>
      <c r="R20" s="95"/>
      <c r="S20" s="108" t="str">
        <f>IF(S19&gt;=C38,"Sim","Não")</f>
        <v>Não</v>
      </c>
      <c r="T20" s="107" t="str">
        <f>IF(T19&gt;=C39,"Sim","Não")</f>
        <v>Não</v>
      </c>
    </row>
    <row r="21" spans="2:30" ht="6.75" customHeight="1" x14ac:dyDescent="0.25"/>
    <row r="22" spans="2:30" ht="21" x14ac:dyDescent="0.25">
      <c r="B22" s="353" t="s">
        <v>32</v>
      </c>
      <c r="C22" s="354"/>
      <c r="D22" s="354"/>
      <c r="E22" s="354"/>
    </row>
    <row r="23" spans="2:30" ht="6.75" customHeight="1" x14ac:dyDescent="0.25"/>
    <row r="24" spans="2:30" ht="6.75" customHeight="1" x14ac:dyDescent="0.25"/>
    <row r="25" spans="2:30" x14ac:dyDescent="0.25">
      <c r="B25" s="37" t="s">
        <v>74</v>
      </c>
      <c r="C25" s="37" t="s">
        <v>41</v>
      </c>
      <c r="D25" s="37" t="s">
        <v>42</v>
      </c>
      <c r="E25" s="37" t="s">
        <v>43</v>
      </c>
      <c r="F25" s="37"/>
    </row>
    <row r="26" spans="2:30" ht="15.75" x14ac:dyDescent="0.25">
      <c r="B26" s="38" t="s">
        <v>155</v>
      </c>
      <c r="C26" s="39">
        <f>'1. Plano Comercial'!S29</f>
        <v>58</v>
      </c>
      <c r="D26" s="39">
        <f>ROUNDUP(C26/4,0)</f>
        <v>15</v>
      </c>
      <c r="E26" s="39">
        <f>ROUNDUP(D26/5,0)</f>
        <v>3</v>
      </c>
    </row>
    <row r="27" spans="2:30" ht="15.75" x14ac:dyDescent="0.25">
      <c r="B27" s="40" t="s">
        <v>156</v>
      </c>
      <c r="C27" s="39">
        <f>'1. Plano Comercial'!S32</f>
        <v>29</v>
      </c>
      <c r="D27" s="39">
        <f t="shared" ref="D27" si="6">ROUNDUP(C27/4,0)</f>
        <v>8</v>
      </c>
      <c r="E27" s="39">
        <f>ROUNDUP(D27/5,0)</f>
        <v>2</v>
      </c>
    </row>
    <row r="28" spans="2:30" ht="15.75" x14ac:dyDescent="0.25">
      <c r="B28" s="40" t="s">
        <v>157</v>
      </c>
      <c r="C28" s="39">
        <f>'1. Plano Comercial'!S34</f>
        <v>20</v>
      </c>
      <c r="D28" s="39">
        <f t="shared" ref="D28" si="7">ROUNDUP(C28/4,0)</f>
        <v>5</v>
      </c>
      <c r="E28" s="39">
        <f>ROUNDUP(D28/5,0)</f>
        <v>1</v>
      </c>
    </row>
    <row r="29" spans="2:30" ht="15.75" x14ac:dyDescent="0.25">
      <c r="B29" s="40" t="s">
        <v>158</v>
      </c>
      <c r="C29" s="41">
        <f>'1. Plano Comercial'!S27</f>
        <v>300000</v>
      </c>
      <c r="D29" s="42"/>
      <c r="E29" s="42"/>
    </row>
    <row r="30" spans="2:30" ht="11.45" customHeight="1" x14ac:dyDescent="0.25">
      <c r="B30" s="43"/>
      <c r="C30" s="44"/>
      <c r="D30" s="24"/>
      <c r="E30" s="24"/>
    </row>
    <row r="31" spans="2:30" ht="15.75" x14ac:dyDescent="0.25">
      <c r="B31" s="45" t="s">
        <v>159</v>
      </c>
      <c r="C31" s="41">
        <f>('1. Plano Comercial'!D30*'1. Plano Comercial'!D32)/'1. Plano Comercial'!D24</f>
        <v>2232000</v>
      </c>
      <c r="D31" s="24"/>
      <c r="E31" s="24"/>
    </row>
    <row r="33" spans="2:8" x14ac:dyDescent="0.25">
      <c r="C33" s="46"/>
      <c r="E33" s="1"/>
      <c r="H33" s="46"/>
    </row>
    <row r="34" spans="2:8" ht="21" x14ac:dyDescent="0.25">
      <c r="B34" s="353" t="s">
        <v>70</v>
      </c>
      <c r="C34" s="354"/>
      <c r="D34" s="354"/>
      <c r="E34" s="354"/>
    </row>
    <row r="37" spans="2:8" x14ac:dyDescent="0.25">
      <c r="B37" s="37" t="s">
        <v>74</v>
      </c>
      <c r="C37" s="37" t="s">
        <v>41</v>
      </c>
      <c r="D37" s="37" t="s">
        <v>42</v>
      </c>
      <c r="E37" s="37" t="s">
        <v>43</v>
      </c>
    </row>
    <row r="38" spans="2:8" ht="15.75" x14ac:dyDescent="0.25">
      <c r="B38" s="38" t="s">
        <v>160</v>
      </c>
      <c r="C38" s="39">
        <f>'1. Plano Comercial'!S51</f>
        <v>7.1428571428571432</v>
      </c>
      <c r="D38" s="39">
        <f>ROUNDUP(C38/4,0)</f>
        <v>2</v>
      </c>
      <c r="E38" s="39">
        <f>ROUNDUP(D38/5,0)</f>
        <v>1</v>
      </c>
    </row>
    <row r="39" spans="2:8" ht="15.75" x14ac:dyDescent="0.25">
      <c r="B39" s="40" t="s">
        <v>161</v>
      </c>
      <c r="C39" s="39">
        <f>'1. Plano Comercial'!S55</f>
        <v>5</v>
      </c>
      <c r="D39" s="39">
        <f>ROUNDUP(C39/4,0)</f>
        <v>2</v>
      </c>
      <c r="E39" s="39">
        <f>ROUNDUP(D39/5,0)</f>
        <v>1</v>
      </c>
    </row>
    <row r="40" spans="2:8" ht="15.75" x14ac:dyDescent="0.25">
      <c r="B40" s="40" t="s">
        <v>158</v>
      </c>
      <c r="C40" s="41">
        <f>'1. Plano Comercial'!S48</f>
        <v>232758.62068965516</v>
      </c>
      <c r="D40" s="42"/>
      <c r="E40" s="42"/>
    </row>
    <row r="41" spans="2:8" ht="12" customHeight="1" x14ac:dyDescent="0.25">
      <c r="B41" s="47"/>
      <c r="C41" s="44"/>
      <c r="D41" s="24"/>
      <c r="E41" s="24"/>
    </row>
    <row r="42" spans="2:8" ht="15.75" x14ac:dyDescent="0.25">
      <c r="B42" s="40" t="s">
        <v>162</v>
      </c>
      <c r="C42" s="41">
        <f>('1. Plano Comercial'!D30*'1. Plano Comercial'!D31)/'1. Plano Comercial'!D24</f>
        <v>558000</v>
      </c>
      <c r="D42" s="24"/>
      <c r="E42" s="24"/>
    </row>
    <row r="43" spans="2:8" x14ac:dyDescent="0.25">
      <c r="E43" s="24"/>
    </row>
    <row r="44" spans="2:8" ht="15" customHeight="1" x14ac:dyDescent="0.25">
      <c r="B44" s="222" t="s">
        <v>87</v>
      </c>
      <c r="C44" s="223">
        <f>C31+C42</f>
        <v>2790000</v>
      </c>
    </row>
  </sheetData>
  <sheetProtection selectLockedCells="1"/>
  <mergeCells count="19">
    <mergeCell ref="B8:T8"/>
    <mergeCell ref="K10:K11"/>
    <mergeCell ref="L10:L11"/>
    <mergeCell ref="M10:M11"/>
    <mergeCell ref="N10:N11"/>
    <mergeCell ref="F10:F11"/>
    <mergeCell ref="G10:G11"/>
    <mergeCell ref="H10:H11"/>
    <mergeCell ref="I10:I11"/>
    <mergeCell ref="J10:J11"/>
    <mergeCell ref="O9:Q9"/>
    <mergeCell ref="S9:T9"/>
    <mergeCell ref="B34:E34"/>
    <mergeCell ref="B22:E22"/>
    <mergeCell ref="B20:E20"/>
    <mergeCell ref="B10:B11"/>
    <mergeCell ref="C10:C11"/>
    <mergeCell ref="D10:D11"/>
    <mergeCell ref="E10:E11"/>
  </mergeCells>
  <phoneticPr fontId="10" type="noConversion"/>
  <conditionalFormatting sqref="O20:T20">
    <cfRule type="containsText" dxfId="31" priority="1" operator="containsText" text="Sim">
      <formula>NOT(ISERROR(SEARCH("Sim",O20)))</formula>
    </cfRule>
    <cfRule type="containsText" dxfId="30" priority="2" operator="containsText" text="Não">
      <formula>NOT(ISERROR(SEARCH("Não",O20)))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&amp;R_x000D_&amp;1#&amp;"Calibri"&amp;10&amp;K008000 [ CLASSIFICAÇÃO: PÚBLICA ]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58FB-171C-4825-B81F-A5A4C5BDFDBF}">
  <sheetPr>
    <tabColor theme="1"/>
  </sheetPr>
  <dimension ref="B1:R73"/>
  <sheetViews>
    <sheetView showGridLines="0" tabSelected="1" zoomScale="80" zoomScaleNormal="80" workbookViewId="0">
      <selection activeCell="K17" sqref="K17:L17"/>
    </sheetView>
  </sheetViews>
  <sheetFormatPr defaultColWidth="8.7109375" defaultRowHeight="15" x14ac:dyDescent="0.25"/>
  <cols>
    <col min="1" max="1" width="8.7109375" style="1"/>
    <col min="2" max="2" width="24" style="1" customWidth="1"/>
    <col min="3" max="3" width="9.7109375" style="1" customWidth="1"/>
    <col min="4" max="4" width="12" style="1" customWidth="1"/>
    <col min="5" max="5" width="11.42578125" style="1" customWidth="1"/>
    <col min="6" max="6" width="39.5703125" style="1" customWidth="1"/>
    <col min="7" max="7" width="4.140625" style="1" customWidth="1"/>
    <col min="8" max="8" width="16.42578125" style="1" bestFit="1" customWidth="1"/>
    <col min="9" max="9" width="22.85546875" style="1" customWidth="1"/>
    <col min="10" max="10" width="8.7109375" style="1"/>
    <col min="11" max="12" width="16.42578125" style="1" customWidth="1"/>
    <col min="13" max="13" width="18.85546875" style="1" bestFit="1" customWidth="1"/>
    <col min="14" max="14" width="32.85546875" style="1" customWidth="1"/>
    <col min="15" max="15" width="16.85546875" style="1" bestFit="1" customWidth="1"/>
    <col min="16" max="16" width="8.7109375" style="1"/>
    <col min="17" max="17" width="27.140625" style="1" bestFit="1" customWidth="1"/>
    <col min="18" max="16384" width="8.7109375" style="1"/>
  </cols>
  <sheetData>
    <row r="1" spans="2:18" ht="15.75" thickBot="1" x14ac:dyDescent="0.3"/>
    <row r="2" spans="2:18" ht="15.75" x14ac:dyDescent="0.25">
      <c r="B2" s="11" t="s">
        <v>3</v>
      </c>
      <c r="C2" s="12"/>
      <c r="D2" s="13"/>
      <c r="E2" s="13"/>
      <c r="F2" s="13"/>
      <c r="G2" s="295"/>
      <c r="H2" s="296"/>
      <c r="I2" s="11" t="s">
        <v>4</v>
      </c>
      <c r="J2" s="12"/>
      <c r="K2" s="13"/>
      <c r="L2" s="11"/>
      <c r="M2" s="57"/>
    </row>
    <row r="3" spans="2:18" ht="15.75" x14ac:dyDescent="0.25">
      <c r="B3" s="15" t="s">
        <v>124</v>
      </c>
      <c r="C3" s="16"/>
      <c r="D3" s="16"/>
      <c r="E3" s="16"/>
      <c r="F3" s="16"/>
      <c r="G3" s="297"/>
      <c r="H3" s="298"/>
      <c r="I3" s="18" t="s">
        <v>125</v>
      </c>
      <c r="J3" s="16"/>
      <c r="K3" s="16"/>
      <c r="L3" s="18"/>
      <c r="M3" s="17"/>
    </row>
    <row r="4" spans="2:18" ht="15.75" x14ac:dyDescent="0.25">
      <c r="B4" s="15" t="s">
        <v>126</v>
      </c>
      <c r="C4" s="16"/>
      <c r="D4" s="16"/>
      <c r="E4" s="16"/>
      <c r="F4" s="16"/>
      <c r="G4" s="17"/>
      <c r="H4" s="58"/>
      <c r="I4" s="18" t="s">
        <v>127</v>
      </c>
      <c r="J4" s="16"/>
      <c r="K4" s="16"/>
      <c r="L4" s="18"/>
      <c r="M4" s="17"/>
    </row>
    <row r="5" spans="2:18" ht="16.5" thickBot="1" x14ac:dyDescent="0.3">
      <c r="B5" s="19" t="s">
        <v>128</v>
      </c>
      <c r="C5" s="20"/>
      <c r="D5" s="20"/>
      <c r="E5" s="20"/>
      <c r="F5" s="20"/>
      <c r="G5" s="21"/>
      <c r="H5" s="59"/>
      <c r="I5" s="22"/>
      <c r="J5" s="60"/>
      <c r="K5" s="20"/>
      <c r="L5" s="20"/>
      <c r="M5" s="21"/>
    </row>
    <row r="6" spans="2:18" ht="9.75" customHeight="1" thickBot="1" x14ac:dyDescent="0.3">
      <c r="B6" s="61"/>
      <c r="C6" s="61"/>
      <c r="D6" s="61"/>
      <c r="E6" s="61"/>
      <c r="F6" s="61"/>
      <c r="G6" s="61"/>
      <c r="H6" s="61"/>
      <c r="I6" s="61"/>
    </row>
    <row r="7" spans="2:18" ht="19.5" thickBot="1" x14ac:dyDescent="0.35">
      <c r="B7" s="256" t="s">
        <v>163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8"/>
    </row>
    <row r="8" spans="2:18" customFormat="1" x14ac:dyDescent="0.25">
      <c r="B8" s="62"/>
      <c r="C8" s="62"/>
      <c r="D8" s="62"/>
      <c r="E8" s="62"/>
      <c r="F8" s="62"/>
      <c r="G8" s="62"/>
      <c r="H8" s="62"/>
      <c r="I8" s="62"/>
      <c r="N8" s="1"/>
      <c r="O8" s="1"/>
      <c r="Q8" s="1"/>
      <c r="R8" s="1"/>
    </row>
    <row r="9" spans="2:18" ht="15" customHeight="1" x14ac:dyDescent="0.25">
      <c r="B9" s="63" t="s">
        <v>164</v>
      </c>
      <c r="C9" s="281" t="s">
        <v>197</v>
      </c>
      <c r="D9" s="282"/>
      <c r="E9" s="282"/>
      <c r="F9" s="282"/>
      <c r="G9" s="64"/>
      <c r="H9" s="63" t="s">
        <v>165</v>
      </c>
      <c r="I9" s="78" t="s">
        <v>166</v>
      </c>
      <c r="K9" s="292"/>
      <c r="L9" s="292"/>
      <c r="M9" s="292"/>
    </row>
    <row r="10" spans="2:18" x14ac:dyDescent="0.25">
      <c r="B10" s="63" t="s">
        <v>167</v>
      </c>
      <c r="C10" s="283">
        <f>'1. Plano Comercial'!D30/'1. Plano Comercial'!D24</f>
        <v>2790000</v>
      </c>
      <c r="D10" s="284"/>
      <c r="E10" s="247" t="s">
        <v>168</v>
      </c>
      <c r="F10" s="66"/>
      <c r="H10" s="63" t="s">
        <v>169</v>
      </c>
      <c r="I10" s="67">
        <f>COUNTA(K17,K29,K41,K53)</f>
        <v>1</v>
      </c>
      <c r="K10" s="292"/>
      <c r="L10" s="292"/>
      <c r="M10" s="292"/>
    </row>
    <row r="11" spans="2:18" x14ac:dyDescent="0.25">
      <c r="B11" s="68" t="s">
        <v>170</v>
      </c>
      <c r="C11" s="288">
        <f>SUM(K17,K29,K41,K53)</f>
        <v>0</v>
      </c>
      <c r="D11" s="268"/>
      <c r="E11" s="65"/>
      <c r="F11" s="66"/>
      <c r="H11" s="63" t="s">
        <v>171</v>
      </c>
      <c r="I11" s="79">
        <v>4</v>
      </c>
    </row>
    <row r="12" spans="2:18" ht="23.25" customHeight="1" x14ac:dyDescent="0.25">
      <c r="B12" s="68" t="s">
        <v>172</v>
      </c>
      <c r="C12" s="288">
        <f>SUM(K19,K31,K43,K55)</f>
        <v>0</v>
      </c>
      <c r="D12" s="268"/>
      <c r="E12" s="65"/>
      <c r="K12" s="291" t="s">
        <v>173</v>
      </c>
      <c r="L12" s="291"/>
      <c r="M12" s="291"/>
    </row>
    <row r="13" spans="2:18" ht="42.95" customHeight="1" x14ac:dyDescent="0.25">
      <c r="B13" s="69" t="s">
        <v>174</v>
      </c>
      <c r="C13" s="289">
        <v>0.3</v>
      </c>
      <c r="D13" s="290"/>
      <c r="F13" s="243" t="s">
        <v>175</v>
      </c>
      <c r="G13" s="244"/>
      <c r="I13" s="245"/>
      <c r="K13" s="291"/>
      <c r="L13" s="291"/>
      <c r="M13" s="291"/>
    </row>
    <row r="14" spans="2:18" ht="29.25" customHeight="1" x14ac:dyDescent="0.25">
      <c r="C14" s="1" t="s">
        <v>176</v>
      </c>
      <c r="E14" s="242"/>
      <c r="F14" s="242"/>
      <c r="G14" s="242"/>
      <c r="K14" s="23"/>
    </row>
    <row r="15" spans="2:18" x14ac:dyDescent="0.25">
      <c r="B15" s="269" t="s">
        <v>177</v>
      </c>
      <c r="C15" s="269"/>
      <c r="D15" s="269"/>
      <c r="E15" s="269"/>
      <c r="F15" s="269"/>
      <c r="G15" s="44"/>
      <c r="H15" s="269" t="s">
        <v>40</v>
      </c>
      <c r="I15" s="269"/>
      <c r="K15" s="279" t="s">
        <v>178</v>
      </c>
      <c r="L15" s="280"/>
      <c r="M15" s="70" t="s">
        <v>179</v>
      </c>
    </row>
    <row r="16" spans="2:18" ht="14.45" customHeight="1" x14ac:dyDescent="0.25">
      <c r="K16" s="293" t="s">
        <v>180</v>
      </c>
      <c r="L16" s="294"/>
      <c r="M16" s="70"/>
    </row>
    <row r="17" spans="2:15" ht="17.25" customHeight="1" x14ac:dyDescent="0.25">
      <c r="B17" s="286" t="s">
        <v>181</v>
      </c>
      <c r="C17" s="286"/>
      <c r="D17" s="286"/>
      <c r="E17" s="262" t="s">
        <v>182</v>
      </c>
      <c r="F17" s="262"/>
      <c r="H17" s="268">
        <f>C10/I11</f>
        <v>697500</v>
      </c>
      <c r="I17" s="268"/>
      <c r="K17" s="285"/>
      <c r="L17" s="285"/>
      <c r="M17" s="71" t="str">
        <f>IF(K17&gt;=H17,"Sim","Não")</f>
        <v>Não</v>
      </c>
    </row>
    <row r="18" spans="2:15" x14ac:dyDescent="0.25">
      <c r="E18" s="66"/>
      <c r="F18" s="66"/>
      <c r="H18" s="72"/>
      <c r="I18" s="72"/>
    </row>
    <row r="19" spans="2:15" ht="17.25" customHeight="1" x14ac:dyDescent="0.25">
      <c r="B19" s="286" t="s">
        <v>183</v>
      </c>
      <c r="C19" s="286"/>
      <c r="D19" s="286"/>
      <c r="E19" s="262" t="s">
        <v>184</v>
      </c>
      <c r="F19" s="262"/>
      <c r="H19" s="268">
        <f>C10/I11/C13</f>
        <v>2325000</v>
      </c>
      <c r="I19" s="268"/>
      <c r="K19" s="287"/>
      <c r="L19" s="287"/>
      <c r="M19" s="71" t="str">
        <f>IF(K19&gt;=H19,"Sim","Não")</f>
        <v>Não</v>
      </c>
    </row>
    <row r="20" spans="2:15" x14ac:dyDescent="0.25">
      <c r="E20" s="66"/>
      <c r="F20" s="66"/>
      <c r="H20" s="72"/>
      <c r="I20" s="72"/>
    </row>
    <row r="21" spans="2:15" ht="17.25" customHeight="1" x14ac:dyDescent="0.25">
      <c r="B21" s="270" t="s">
        <v>185</v>
      </c>
      <c r="C21" s="271"/>
      <c r="D21" s="272"/>
      <c r="E21" s="262" t="s">
        <v>186</v>
      </c>
      <c r="F21" s="262"/>
      <c r="H21" s="263">
        <f>'2. Planos de Ação'!C26/I11</f>
        <v>14.5</v>
      </c>
      <c r="I21" s="263"/>
      <c r="K21" s="259"/>
      <c r="L21" s="259"/>
      <c r="M21" s="71" t="str">
        <f>IF(K21&gt;=H21,"Sim","Não")</f>
        <v>Não</v>
      </c>
    </row>
    <row r="22" spans="2:15" ht="17.25" customHeight="1" x14ac:dyDescent="0.25">
      <c r="B22" s="273"/>
      <c r="C22" s="274"/>
      <c r="D22" s="275"/>
      <c r="E22" s="262" t="s">
        <v>187</v>
      </c>
      <c r="F22" s="262"/>
      <c r="H22" s="264">
        <f>'2. Planos de Ação'!C27/I11</f>
        <v>7.25</v>
      </c>
      <c r="I22" s="265"/>
      <c r="K22" s="259"/>
      <c r="L22" s="259"/>
      <c r="M22" s="71" t="str">
        <f>IF(K22&gt;=H22,"Sim","Não")</f>
        <v>Não</v>
      </c>
    </row>
    <row r="23" spans="2:15" ht="17.100000000000001" customHeight="1" x14ac:dyDescent="0.25">
      <c r="B23" s="273"/>
      <c r="C23" s="274"/>
      <c r="D23" s="275"/>
      <c r="E23" s="262" t="s">
        <v>188</v>
      </c>
      <c r="F23" s="262"/>
      <c r="H23" s="264">
        <f>'2. Planos de Ação'!C28/I11</f>
        <v>5</v>
      </c>
      <c r="I23" s="265"/>
      <c r="K23" s="259"/>
      <c r="L23" s="259"/>
      <c r="M23" s="71" t="str">
        <f>IF(K23&gt;=H23,"Sim","Não")</f>
        <v>Não</v>
      </c>
    </row>
    <row r="24" spans="2:15" ht="17.100000000000001" customHeight="1" x14ac:dyDescent="0.25">
      <c r="B24" s="273"/>
      <c r="C24" s="274"/>
      <c r="D24" s="275"/>
      <c r="E24" s="266" t="s">
        <v>189</v>
      </c>
      <c r="F24" s="267"/>
      <c r="H24" s="264">
        <f>'2. Planos de Ação'!C38/I11</f>
        <v>1.7857142857142858</v>
      </c>
      <c r="I24" s="265"/>
      <c r="K24" s="259"/>
      <c r="L24" s="259"/>
      <c r="M24" s="71" t="str">
        <f>IF(K24&gt;=H24,"Sim","Não")</f>
        <v>Não</v>
      </c>
    </row>
    <row r="25" spans="2:15" ht="17.100000000000001" customHeight="1" x14ac:dyDescent="0.25">
      <c r="B25" s="276"/>
      <c r="C25" s="277"/>
      <c r="D25" s="278"/>
      <c r="E25" s="266" t="s">
        <v>190</v>
      </c>
      <c r="F25" s="267"/>
      <c r="H25" s="264">
        <f>'2. Planos de Ação'!C39/I11</f>
        <v>1.25</v>
      </c>
      <c r="I25" s="265"/>
      <c r="K25" s="259"/>
      <c r="L25" s="259"/>
      <c r="M25" s="71" t="str">
        <f>IF(K25&gt;=H25,"Sim","Não")</f>
        <v>Não</v>
      </c>
    </row>
    <row r="27" spans="2:15" x14ac:dyDescent="0.25">
      <c r="B27" s="269" t="s">
        <v>191</v>
      </c>
      <c r="C27" s="269"/>
      <c r="D27" s="269"/>
      <c r="E27" s="269"/>
      <c r="F27" s="269"/>
      <c r="G27" s="44"/>
      <c r="H27" s="269" t="s">
        <v>40</v>
      </c>
      <c r="I27" s="269"/>
      <c r="K27" s="260" t="s">
        <v>192</v>
      </c>
      <c r="L27" s="261"/>
      <c r="M27" s="73" t="s">
        <v>179</v>
      </c>
    </row>
    <row r="28" spans="2:15" x14ac:dyDescent="0.25">
      <c r="K28" s="293" t="s">
        <v>180</v>
      </c>
      <c r="L28" s="294"/>
      <c r="M28" s="70"/>
      <c r="O28" s="74"/>
    </row>
    <row r="29" spans="2:15" ht="14.45" customHeight="1" x14ac:dyDescent="0.25">
      <c r="B29" s="286" t="s">
        <v>181</v>
      </c>
      <c r="C29" s="286"/>
      <c r="D29" s="286"/>
      <c r="E29" s="262" t="s">
        <v>182</v>
      </c>
      <c r="F29" s="262"/>
      <c r="H29" s="268">
        <f>IF((C10/I11)+(H17-K17)&lt;0,0,(C10/I11)+(H17-K17))</f>
        <v>1395000</v>
      </c>
      <c r="I29" s="268"/>
      <c r="K29" s="285">
        <v>0</v>
      </c>
      <c r="L29" s="285"/>
      <c r="M29" s="71" t="str">
        <f>IF(K29&gt;=H29,"Sim","Não")</f>
        <v>Não</v>
      </c>
    </row>
    <row r="30" spans="2:15" x14ac:dyDescent="0.25">
      <c r="E30" s="66"/>
      <c r="F30" s="66"/>
      <c r="H30" s="246"/>
      <c r="I30" s="246"/>
    </row>
    <row r="31" spans="2:15" ht="14.45" customHeight="1" x14ac:dyDescent="0.25">
      <c r="B31" s="286" t="s">
        <v>183</v>
      </c>
      <c r="C31" s="286"/>
      <c r="D31" s="286"/>
      <c r="E31" s="262" t="s">
        <v>184</v>
      </c>
      <c r="F31" s="262"/>
      <c r="H31" s="268">
        <f>C10/I11/C13</f>
        <v>2325000</v>
      </c>
      <c r="I31" s="268"/>
      <c r="K31" s="287"/>
      <c r="L31" s="287"/>
      <c r="M31" s="71" t="str">
        <f>IF(K31&gt;=H31,"Sim","Não")</f>
        <v>Não</v>
      </c>
    </row>
    <row r="32" spans="2:15" x14ac:dyDescent="0.25">
      <c r="E32" s="66"/>
      <c r="F32" s="66"/>
      <c r="H32" s="246"/>
      <c r="I32" s="246"/>
    </row>
    <row r="33" spans="2:13" x14ac:dyDescent="0.25">
      <c r="B33" s="270" t="s">
        <v>193</v>
      </c>
      <c r="C33" s="271"/>
      <c r="D33" s="272"/>
      <c r="E33" s="262" t="s">
        <v>186</v>
      </c>
      <c r="F33" s="262"/>
      <c r="H33" s="263">
        <f>IF('2. Planos de Ação'!$C$26/I11+(H21-K21)&lt;H21,H$21,'2. Planos de Ação'!$C$26/I11+(H21-K21))</f>
        <v>29</v>
      </c>
      <c r="I33" s="263"/>
      <c r="K33" s="259"/>
      <c r="L33" s="259"/>
      <c r="M33" s="71" t="str">
        <f>IF(K33&gt;=H33,"Sim","Não")</f>
        <v>Não</v>
      </c>
    </row>
    <row r="34" spans="2:13" ht="14.45" customHeight="1" x14ac:dyDescent="0.25">
      <c r="B34" s="273"/>
      <c r="C34" s="274"/>
      <c r="D34" s="275"/>
      <c r="E34" s="262" t="s">
        <v>187</v>
      </c>
      <c r="F34" s="262"/>
      <c r="H34" s="263">
        <f>IF('2. Planos de Ação'!$C$27/I11+(H22-K22)&lt;H22,$H$22,'2. Planos de Ação'!$C$27/I11+(H22-K22))</f>
        <v>14.5</v>
      </c>
      <c r="I34" s="263"/>
      <c r="K34" s="259"/>
      <c r="L34" s="259"/>
      <c r="M34" s="71" t="str">
        <f>IF(K34&gt;=H34,"Sim","Não")</f>
        <v>Não</v>
      </c>
    </row>
    <row r="35" spans="2:13" x14ac:dyDescent="0.25">
      <c r="B35" s="273"/>
      <c r="C35" s="274"/>
      <c r="D35" s="275"/>
      <c r="E35" s="262" t="s">
        <v>188</v>
      </c>
      <c r="F35" s="262"/>
      <c r="H35" s="263">
        <f>IF('2. Planos de Ação'!$C$28/I11+(H23-K23)&lt;H23,$H$23,'2. Planos de Ação'!$C$28/I11+(H23-K23))</f>
        <v>10</v>
      </c>
      <c r="I35" s="263"/>
      <c r="K35" s="259"/>
      <c r="L35" s="259"/>
      <c r="M35" s="71" t="str">
        <f>IF(K35&gt;=H35,"Sim","Não")</f>
        <v>Não</v>
      </c>
    </row>
    <row r="36" spans="2:13" ht="14.45" customHeight="1" x14ac:dyDescent="0.25">
      <c r="B36" s="273"/>
      <c r="C36" s="274"/>
      <c r="D36" s="275"/>
      <c r="E36" s="266" t="s">
        <v>189</v>
      </c>
      <c r="F36" s="267"/>
      <c r="H36" s="263">
        <f>IF('2. Planos de Ação'!$C$38/I11+(H24-K24)&lt;H24,$H$24,'2. Planos de Ação'!$C$38/I11+(H24-K24))</f>
        <v>3.5714285714285716</v>
      </c>
      <c r="I36" s="263"/>
      <c r="K36" s="259"/>
      <c r="L36" s="259"/>
      <c r="M36" s="71" t="str">
        <f>IF(K36&gt;=H36,"Sim","Não")</f>
        <v>Não</v>
      </c>
    </row>
    <row r="37" spans="2:13" ht="14.45" customHeight="1" x14ac:dyDescent="0.25">
      <c r="B37" s="276"/>
      <c r="C37" s="277"/>
      <c r="D37" s="278"/>
      <c r="E37" s="266" t="s">
        <v>190</v>
      </c>
      <c r="F37" s="267"/>
      <c r="H37" s="263">
        <f>IF('2. Planos de Ação'!$C$39/I11+(H25-K25)&lt;H25,$H$25,'2. Planos de Ação'!$C$39/I11+(H25-K25))</f>
        <v>2.5</v>
      </c>
      <c r="I37" s="263"/>
      <c r="K37" s="259"/>
      <c r="L37" s="259"/>
      <c r="M37" s="71" t="str">
        <f>IF(K37&gt;=H37,"Sim","Não")</f>
        <v>Não</v>
      </c>
    </row>
    <row r="38" spans="2:13" x14ac:dyDescent="0.25">
      <c r="B38" s="75"/>
      <c r="C38" s="75"/>
      <c r="D38" s="75"/>
      <c r="E38" s="76"/>
      <c r="F38" s="76"/>
      <c r="H38" s="77"/>
      <c r="I38" s="77"/>
    </row>
    <row r="39" spans="2:13" x14ac:dyDescent="0.25">
      <c r="B39" s="269" t="s">
        <v>194</v>
      </c>
      <c r="C39" s="269"/>
      <c r="D39" s="269"/>
      <c r="E39" s="269"/>
      <c r="F39" s="269"/>
      <c r="G39" s="44"/>
      <c r="H39" s="269" t="s">
        <v>40</v>
      </c>
      <c r="I39" s="269"/>
      <c r="K39" s="260" t="s">
        <v>192</v>
      </c>
      <c r="L39" s="261"/>
      <c r="M39" s="73" t="s">
        <v>179</v>
      </c>
    </row>
    <row r="40" spans="2:13" x14ac:dyDescent="0.25">
      <c r="K40" s="293" t="s">
        <v>180</v>
      </c>
      <c r="L40" s="294"/>
      <c r="M40" s="70"/>
    </row>
    <row r="41" spans="2:13" ht="14.45" customHeight="1" x14ac:dyDescent="0.25">
      <c r="B41" s="286" t="s">
        <v>181</v>
      </c>
      <c r="C41" s="286"/>
      <c r="D41" s="286"/>
      <c r="E41" s="262" t="s">
        <v>182</v>
      </c>
      <c r="F41" s="262"/>
      <c r="H41" s="268">
        <f>IF((C10/I11)+(H29-K29)&lt;0,0,(C10/I11)+(H29-K29))</f>
        <v>2092500</v>
      </c>
      <c r="I41" s="268"/>
      <c r="K41" s="285"/>
      <c r="L41" s="285"/>
      <c r="M41" s="71" t="str">
        <f>IF(K41&gt;=H41,"Sim","Não")</f>
        <v>Não</v>
      </c>
    </row>
    <row r="42" spans="2:13" x14ac:dyDescent="0.25">
      <c r="E42" s="66"/>
      <c r="F42" s="66"/>
      <c r="H42" s="246"/>
      <c r="I42" s="246"/>
    </row>
    <row r="43" spans="2:13" ht="14.45" customHeight="1" x14ac:dyDescent="0.25">
      <c r="B43" s="286" t="s">
        <v>183</v>
      </c>
      <c r="C43" s="286"/>
      <c r="D43" s="286"/>
      <c r="E43" s="262" t="s">
        <v>184</v>
      </c>
      <c r="F43" s="262"/>
      <c r="H43" s="268">
        <f>C10/I11/C13</f>
        <v>2325000</v>
      </c>
      <c r="I43" s="268"/>
      <c r="K43" s="287"/>
      <c r="L43" s="287"/>
      <c r="M43" s="71" t="str">
        <f>IF(K43&gt;=H43,"Sim","Não")</f>
        <v>Não</v>
      </c>
    </row>
    <row r="44" spans="2:13" x14ac:dyDescent="0.25">
      <c r="E44" s="66"/>
      <c r="F44" s="66"/>
      <c r="H44" s="246"/>
      <c r="I44" s="246"/>
    </row>
    <row r="45" spans="2:13" x14ac:dyDescent="0.25">
      <c r="B45" s="270" t="s">
        <v>193</v>
      </c>
      <c r="C45" s="271"/>
      <c r="D45" s="272"/>
      <c r="E45" s="262" t="s">
        <v>186</v>
      </c>
      <c r="F45" s="262"/>
      <c r="H45" s="264">
        <f>IF('2. Planos de Ação'!$C$26/I11+(H33-K33)&lt;H33,H$21,'2. Planos de Ação'!$C$26/I11+(H33-K33))</f>
        <v>43.5</v>
      </c>
      <c r="I45" s="265"/>
      <c r="K45" s="259"/>
      <c r="L45" s="259"/>
      <c r="M45" s="71" t="str">
        <f>IF(K45&gt;=H45,"Sim","Não")</f>
        <v>Não</v>
      </c>
    </row>
    <row r="46" spans="2:13" x14ac:dyDescent="0.25">
      <c r="B46" s="273"/>
      <c r="C46" s="274"/>
      <c r="D46" s="275"/>
      <c r="E46" s="262" t="s">
        <v>187</v>
      </c>
      <c r="F46" s="262"/>
      <c r="H46" s="264">
        <f>IF('2. Planos de Ação'!$C$27/I11+(H34-K34)&lt;H34,$H$22,'2. Planos de Ação'!$C$27/I11+(H34-K34))</f>
        <v>21.75</v>
      </c>
      <c r="I46" s="265"/>
      <c r="K46" s="259"/>
      <c r="L46" s="259"/>
      <c r="M46" s="71" t="str">
        <f>IF(K46&gt;=H46,"Sim","Não")</f>
        <v>Não</v>
      </c>
    </row>
    <row r="47" spans="2:13" x14ac:dyDescent="0.25">
      <c r="B47" s="273"/>
      <c r="C47" s="274"/>
      <c r="D47" s="275"/>
      <c r="E47" s="262" t="s">
        <v>188</v>
      </c>
      <c r="F47" s="262"/>
      <c r="H47" s="264">
        <f>IF('2. Planos de Ação'!$C$28/I11+(H35-K35)&lt;H35,$H$23,'2. Planos de Ação'!$C$28/I11+(H35-K35))</f>
        <v>15</v>
      </c>
      <c r="I47" s="265"/>
      <c r="K47" s="259"/>
      <c r="L47" s="259"/>
      <c r="M47" s="71" t="str">
        <f>IF(K47&gt;=H47,"Sim","Não")</f>
        <v>Não</v>
      </c>
    </row>
    <row r="48" spans="2:13" x14ac:dyDescent="0.25">
      <c r="B48" s="273"/>
      <c r="C48" s="274"/>
      <c r="D48" s="275"/>
      <c r="E48" s="266" t="s">
        <v>189</v>
      </c>
      <c r="F48" s="267"/>
      <c r="H48" s="264">
        <f>IF('2. Planos de Ação'!$C$38/I11+(H36-K36)&lt;H36,$H$24,'2. Planos de Ação'!$C$38/I11+(H36-K36))</f>
        <v>5.3571428571428577</v>
      </c>
      <c r="I48" s="265"/>
      <c r="K48" s="259"/>
      <c r="L48" s="259"/>
      <c r="M48" s="71" t="str">
        <f>IF(K48&gt;=H48,"Sim","Não")</f>
        <v>Não</v>
      </c>
    </row>
    <row r="49" spans="2:13" x14ac:dyDescent="0.25">
      <c r="B49" s="276"/>
      <c r="C49" s="277"/>
      <c r="D49" s="278"/>
      <c r="E49" s="266" t="s">
        <v>190</v>
      </c>
      <c r="F49" s="267"/>
      <c r="H49" s="264">
        <f>IF('2. Planos de Ação'!$C$39/I11+(H37-K37)&lt;H37,$H$25,'2. Planos de Ação'!$C$39/I11+(H37-K37))</f>
        <v>3.75</v>
      </c>
      <c r="I49" s="265"/>
      <c r="K49" s="259"/>
      <c r="L49" s="259"/>
      <c r="M49" s="71" t="str">
        <f>IF(K49&gt;=H49,"Sim","Não")</f>
        <v>Não</v>
      </c>
    </row>
    <row r="50" spans="2:13" x14ac:dyDescent="0.25">
      <c r="B50" s="75"/>
      <c r="C50" s="75"/>
      <c r="D50" s="75"/>
      <c r="E50" s="76"/>
      <c r="F50" s="76"/>
      <c r="H50" s="77"/>
      <c r="I50" s="77"/>
    </row>
    <row r="51" spans="2:13" x14ac:dyDescent="0.25">
      <c r="B51" s="269" t="s">
        <v>195</v>
      </c>
      <c r="C51" s="269"/>
      <c r="D51" s="269"/>
      <c r="E51" s="269"/>
      <c r="F51" s="269"/>
      <c r="G51" s="44"/>
      <c r="H51" s="269" t="s">
        <v>40</v>
      </c>
      <c r="I51" s="269"/>
      <c r="K51" s="260" t="s">
        <v>192</v>
      </c>
      <c r="L51" s="261"/>
      <c r="M51" s="73" t="s">
        <v>179</v>
      </c>
    </row>
    <row r="52" spans="2:13" x14ac:dyDescent="0.25">
      <c r="K52" s="293" t="s">
        <v>180</v>
      </c>
      <c r="L52" s="294"/>
      <c r="M52" s="70"/>
    </row>
    <row r="53" spans="2:13" ht="14.45" customHeight="1" x14ac:dyDescent="0.25">
      <c r="B53" s="286" t="s">
        <v>181</v>
      </c>
      <c r="C53" s="286"/>
      <c r="D53" s="286"/>
      <c r="E53" s="262" t="s">
        <v>182</v>
      </c>
      <c r="F53" s="262"/>
      <c r="H53" s="268">
        <f>IF((C10/I11)+(H41-K41)&lt;0,0,(C10/I11)+(H41-K41))</f>
        <v>2790000</v>
      </c>
      <c r="I53" s="268"/>
      <c r="K53" s="285"/>
      <c r="L53" s="285"/>
      <c r="M53" s="71" t="str">
        <f>IF(K53&gt;=H53,"Sim","Não")</f>
        <v>Não</v>
      </c>
    </row>
    <row r="54" spans="2:13" x14ac:dyDescent="0.25">
      <c r="E54" s="66"/>
      <c r="F54" s="66"/>
      <c r="H54" s="246"/>
      <c r="I54" s="246"/>
    </row>
    <row r="55" spans="2:13" ht="14.45" customHeight="1" x14ac:dyDescent="0.25">
      <c r="B55" s="286" t="s">
        <v>183</v>
      </c>
      <c r="C55" s="286"/>
      <c r="D55" s="286"/>
      <c r="E55" s="262" t="s">
        <v>184</v>
      </c>
      <c r="F55" s="262"/>
      <c r="H55" s="268">
        <f>C10/I11/C13</f>
        <v>2325000</v>
      </c>
      <c r="I55" s="268"/>
      <c r="K55" s="287"/>
      <c r="L55" s="287"/>
      <c r="M55" s="71" t="str">
        <f>IF(K55&gt;=H55,"Sim","Não")</f>
        <v>Não</v>
      </c>
    </row>
    <row r="56" spans="2:13" x14ac:dyDescent="0.25">
      <c r="E56" s="66"/>
      <c r="F56" s="66"/>
      <c r="H56" s="246"/>
      <c r="I56" s="246"/>
    </row>
    <row r="57" spans="2:13" x14ac:dyDescent="0.25">
      <c r="B57" s="270" t="s">
        <v>193</v>
      </c>
      <c r="C57" s="271"/>
      <c r="D57" s="272"/>
      <c r="E57" s="262" t="s">
        <v>186</v>
      </c>
      <c r="F57" s="262"/>
      <c r="H57" s="264">
        <f>IF('2. Planos de Ação'!$C$26/I11+(H45-K45)&lt;H45,H$21,'2. Planos de Ação'!$C$26/I11+(H45-K45))</f>
        <v>58</v>
      </c>
      <c r="I57" s="265"/>
      <c r="K57" s="259"/>
      <c r="L57" s="259"/>
      <c r="M57" s="71" t="str">
        <f>IF(K57&gt;=H57,"Sim","Não")</f>
        <v>Não</v>
      </c>
    </row>
    <row r="58" spans="2:13" x14ac:dyDescent="0.25">
      <c r="B58" s="273"/>
      <c r="C58" s="274"/>
      <c r="D58" s="275"/>
      <c r="E58" s="262" t="s">
        <v>187</v>
      </c>
      <c r="F58" s="262"/>
      <c r="H58" s="264">
        <f>IF('2. Planos de Ação'!$C$27/I11+(H46-K46)&lt;H46,$H$22,'2. Planos de Ação'!$C$27/I11+(H46-K46))</f>
        <v>29</v>
      </c>
      <c r="I58" s="265"/>
      <c r="K58" s="259"/>
      <c r="L58" s="259"/>
      <c r="M58" s="71" t="str">
        <f>IF(K58&gt;=H58,"Sim","Não")</f>
        <v>Não</v>
      </c>
    </row>
    <row r="59" spans="2:13" x14ac:dyDescent="0.25">
      <c r="B59" s="273"/>
      <c r="C59" s="274"/>
      <c r="D59" s="275"/>
      <c r="E59" s="262" t="s">
        <v>188</v>
      </c>
      <c r="F59" s="262"/>
      <c r="H59" s="264">
        <f>IF('2. Planos de Ação'!$C$28/I11+(H47-K47)&lt;H47,$H$23,'2. Planos de Ação'!$C$28/I11+(H47-K47))</f>
        <v>20</v>
      </c>
      <c r="I59" s="265"/>
      <c r="K59" s="259"/>
      <c r="L59" s="259"/>
      <c r="M59" s="71" t="str">
        <f>IF(K59&gt;=H59,"Sim","Não")</f>
        <v>Não</v>
      </c>
    </row>
    <row r="60" spans="2:13" x14ac:dyDescent="0.25">
      <c r="B60" s="273"/>
      <c r="C60" s="274"/>
      <c r="D60" s="275"/>
      <c r="E60" s="266" t="s">
        <v>189</v>
      </c>
      <c r="F60" s="267"/>
      <c r="H60" s="264">
        <f>IF('2. Planos de Ação'!$C$38/I11+(H48-K48)&lt;H48,$H$24,'2. Planos de Ação'!$C$38/I11+(H48-K48))</f>
        <v>7.1428571428571432</v>
      </c>
      <c r="I60" s="265"/>
      <c r="K60" s="259"/>
      <c r="L60" s="259"/>
      <c r="M60" s="71" t="str">
        <f>IF(K60&gt;=H60,"Sim","Não")</f>
        <v>Não</v>
      </c>
    </row>
    <row r="61" spans="2:13" x14ac:dyDescent="0.25">
      <c r="B61" s="276"/>
      <c r="C61" s="277"/>
      <c r="D61" s="278"/>
      <c r="E61" s="266" t="s">
        <v>190</v>
      </c>
      <c r="F61" s="267"/>
      <c r="H61" s="264">
        <f>IF('2. Planos de Ação'!$C$39/I11+(H49-K49)&lt;H49,$H$25,'2. Planos de Ação'!$C$39/I11+(H49-K49))</f>
        <v>5</v>
      </c>
      <c r="I61" s="265"/>
      <c r="K61" s="259"/>
      <c r="L61" s="259"/>
      <c r="M61" s="71" t="str">
        <f>IF(K61&gt;=H61,"Sim","Não")</f>
        <v>Não</v>
      </c>
    </row>
    <row r="62" spans="2:13" x14ac:dyDescent="0.25">
      <c r="B62" s="75"/>
      <c r="C62" s="75"/>
      <c r="D62" s="75"/>
      <c r="E62" s="76"/>
      <c r="F62" s="76"/>
      <c r="H62" s="77"/>
      <c r="I62" s="77"/>
    </row>
    <row r="63" spans="2:13" x14ac:dyDescent="0.25">
      <c r="B63" s="269" t="s">
        <v>196</v>
      </c>
      <c r="C63" s="269"/>
      <c r="D63" s="269"/>
      <c r="E63" s="269"/>
      <c r="F63" s="269"/>
      <c r="G63" s="44"/>
      <c r="H63" s="269" t="s">
        <v>40</v>
      </c>
      <c r="I63" s="269"/>
      <c r="K63" s="260" t="s">
        <v>192</v>
      </c>
      <c r="L63" s="261"/>
      <c r="M63" s="73" t="s">
        <v>179</v>
      </c>
    </row>
    <row r="64" spans="2:13" x14ac:dyDescent="0.25">
      <c r="K64" s="293" t="s">
        <v>180</v>
      </c>
      <c r="L64" s="294"/>
      <c r="M64" s="70"/>
    </row>
    <row r="65" spans="2:13" x14ac:dyDescent="0.25">
      <c r="B65" s="286" t="s">
        <v>181</v>
      </c>
      <c r="C65" s="286"/>
      <c r="D65" s="286"/>
      <c r="E65" s="262" t="s">
        <v>182</v>
      </c>
      <c r="F65" s="262"/>
      <c r="H65" s="268" t="str">
        <f>IF(I11&gt;4,IF((C10/I11)+(H53-K53)&lt;0,0,(C10/I11)+(H53-K53)),"Você preencheu que o mês tem 4 semanas")</f>
        <v>Você preencheu que o mês tem 4 semanas</v>
      </c>
      <c r="I65" s="268"/>
      <c r="K65" s="285"/>
      <c r="L65" s="285"/>
      <c r="M65" s="71" t="str">
        <f>IF(K65&gt;=H65,"Sim","Não")</f>
        <v>Não</v>
      </c>
    </row>
    <row r="66" spans="2:13" x14ac:dyDescent="0.25">
      <c r="E66" s="66"/>
      <c r="F66" s="66"/>
      <c r="H66" s="246"/>
      <c r="I66" s="246"/>
    </row>
    <row r="67" spans="2:13" x14ac:dyDescent="0.25">
      <c r="B67" s="286" t="s">
        <v>183</v>
      </c>
      <c r="C67" s="286"/>
      <c r="D67" s="286"/>
      <c r="E67" s="262" t="s">
        <v>184</v>
      </c>
      <c r="F67" s="262"/>
      <c r="H67" s="268" t="str">
        <f>IF(I11&gt;4,C10/I11/C13,"Você preencheu que o mês tem 4 semanas")</f>
        <v>Você preencheu que o mês tem 4 semanas</v>
      </c>
      <c r="I67" s="268"/>
      <c r="K67" s="287"/>
      <c r="L67" s="287"/>
      <c r="M67" s="71" t="str">
        <f>IF(K67&gt;=H67,"Sim","Não")</f>
        <v>Não</v>
      </c>
    </row>
    <row r="68" spans="2:13" x14ac:dyDescent="0.25">
      <c r="E68" s="66"/>
      <c r="F68" s="66"/>
      <c r="H68" s="246"/>
      <c r="I68" s="246"/>
    </row>
    <row r="69" spans="2:13" x14ac:dyDescent="0.25">
      <c r="B69" s="270" t="s">
        <v>193</v>
      </c>
      <c r="C69" s="271"/>
      <c r="D69" s="272"/>
      <c r="E69" s="262" t="s">
        <v>186</v>
      </c>
      <c r="F69" s="262"/>
      <c r="H69" s="263" t="str">
        <f>IF(I11&gt;4,IF('2. Planos de Ação'!$C$26/I11+(H57-K57)&lt;H57,H$21,'2. Planos de Ação'!$C$26/I11+(H57-K57)),"Você preencheu que o mês tem 4 semanas")</f>
        <v>Você preencheu que o mês tem 4 semanas</v>
      </c>
      <c r="I69" s="263"/>
      <c r="K69" s="259"/>
      <c r="L69" s="259"/>
      <c r="M69" s="71" t="str">
        <f>IF(K69&gt;=H69,"Sim","Não")</f>
        <v>Não</v>
      </c>
    </row>
    <row r="70" spans="2:13" x14ac:dyDescent="0.25">
      <c r="B70" s="273"/>
      <c r="C70" s="274"/>
      <c r="D70" s="275"/>
      <c r="E70" s="262" t="s">
        <v>187</v>
      </c>
      <c r="F70" s="262"/>
      <c r="H70" s="263" t="str">
        <f>IF(I11&gt;4,IF('2. Planos de Ação'!$C$27/I11+(H58-K58)&lt;H58,$H$22,'2. Planos de Ação'!$C$27/I11+(H58-K58)),"Você preencheu que o mês tem 4 semanas")</f>
        <v>Você preencheu que o mês tem 4 semanas</v>
      </c>
      <c r="I70" s="263"/>
      <c r="K70" s="259"/>
      <c r="L70" s="259"/>
      <c r="M70" s="71" t="str">
        <f>IF(K70&gt;=H70,"Sim","Não")</f>
        <v>Não</v>
      </c>
    </row>
    <row r="71" spans="2:13" x14ac:dyDescent="0.25">
      <c r="B71" s="273"/>
      <c r="C71" s="274"/>
      <c r="D71" s="275"/>
      <c r="E71" s="262" t="s">
        <v>188</v>
      </c>
      <c r="F71" s="262"/>
      <c r="H71" s="263" t="str">
        <f>IF(I11&gt;4,IF('2. Planos de Ação'!$C$28/I11+(H59-K59)&lt;H59,$H$23,'2. Planos de Ação'!$C$28/I11+(H59-K59)),"Você preencheu que o mês tem 4 semanas")</f>
        <v>Você preencheu que o mês tem 4 semanas</v>
      </c>
      <c r="I71" s="263"/>
      <c r="K71" s="259"/>
      <c r="L71" s="259"/>
      <c r="M71" s="71" t="str">
        <f>IF(K71&gt;=H71,"Sim","Não")</f>
        <v>Não</v>
      </c>
    </row>
    <row r="72" spans="2:13" x14ac:dyDescent="0.25">
      <c r="B72" s="273"/>
      <c r="C72" s="274"/>
      <c r="D72" s="275"/>
      <c r="E72" s="266" t="s">
        <v>189</v>
      </c>
      <c r="F72" s="267"/>
      <c r="H72" s="263" t="str">
        <f>IF(I11&gt;4,IF('2. Planos de Ação'!$C$38/I11+(H60-K60)&lt;H60,$H$24,'2. Planos de Ação'!$C$38/I11+(H60-K60)),"Você preencheu que o mês tem 4 semanas")</f>
        <v>Você preencheu que o mês tem 4 semanas</v>
      </c>
      <c r="I72" s="263"/>
      <c r="K72" s="259"/>
      <c r="L72" s="259"/>
      <c r="M72" s="71" t="str">
        <f>IF(K72&gt;=H72,"Sim","Não")</f>
        <v>Não</v>
      </c>
    </row>
    <row r="73" spans="2:13" x14ac:dyDescent="0.25">
      <c r="B73" s="276"/>
      <c r="C73" s="277"/>
      <c r="D73" s="278"/>
      <c r="E73" s="266" t="s">
        <v>190</v>
      </c>
      <c r="F73" s="267"/>
      <c r="H73" s="263" t="str">
        <f>IF(I11&gt;4,IF('2. Planos de Ação'!$C$39/I11+(H61-K61)&lt;H61,$H$25,'2. Planos de Ação'!$C$39/I11+(H61-K61)),"Você preencheu que o mês tem 4 semanas")</f>
        <v>Você preencheu que o mês tem 4 semanas</v>
      </c>
      <c r="I73" s="263"/>
      <c r="K73" s="259"/>
      <c r="L73" s="259"/>
      <c r="M73" s="71" t="str">
        <f>IF(K73&gt;=H73,"Sim","Não")</f>
        <v>Não</v>
      </c>
    </row>
  </sheetData>
  <sheetProtection selectLockedCells="1"/>
  <mergeCells count="149">
    <mergeCell ref="B67:D67"/>
    <mergeCell ref="E67:F67"/>
    <mergeCell ref="H67:I67"/>
    <mergeCell ref="K67:L67"/>
    <mergeCell ref="B69:D73"/>
    <mergeCell ref="E69:F69"/>
    <mergeCell ref="H69:I69"/>
    <mergeCell ref="K69:L69"/>
    <mergeCell ref="E70:F70"/>
    <mergeCell ref="H70:I70"/>
    <mergeCell ref="K70:L70"/>
    <mergeCell ref="E71:F71"/>
    <mergeCell ref="H71:I71"/>
    <mergeCell ref="K71:L71"/>
    <mergeCell ref="E72:F72"/>
    <mergeCell ref="H72:I72"/>
    <mergeCell ref="K72:L72"/>
    <mergeCell ref="E73:F73"/>
    <mergeCell ref="H73:I73"/>
    <mergeCell ref="K73:L73"/>
    <mergeCell ref="B63:F63"/>
    <mergeCell ref="H63:I63"/>
    <mergeCell ref="K63:L63"/>
    <mergeCell ref="K64:L64"/>
    <mergeCell ref="B65:D65"/>
    <mergeCell ref="E65:F65"/>
    <mergeCell ref="H65:I65"/>
    <mergeCell ref="K65:L65"/>
    <mergeCell ref="G2:H3"/>
    <mergeCell ref="K16:L16"/>
    <mergeCell ref="K28:L28"/>
    <mergeCell ref="K40:L40"/>
    <mergeCell ref="K52:L52"/>
    <mergeCell ref="B55:D55"/>
    <mergeCell ref="E55:F55"/>
    <mergeCell ref="H55:I55"/>
    <mergeCell ref="K55:L55"/>
    <mergeCell ref="B51:F51"/>
    <mergeCell ref="H51:I51"/>
    <mergeCell ref="B53:D53"/>
    <mergeCell ref="E53:F53"/>
    <mergeCell ref="H53:I53"/>
    <mergeCell ref="K53:L53"/>
    <mergeCell ref="B45:D49"/>
    <mergeCell ref="E48:F48"/>
    <mergeCell ref="H48:I48"/>
    <mergeCell ref="E49:F49"/>
    <mergeCell ref="H49:I49"/>
    <mergeCell ref="E45:F45"/>
    <mergeCell ref="H45:I45"/>
    <mergeCell ref="E46:F46"/>
    <mergeCell ref="H46:I46"/>
    <mergeCell ref="K31:L31"/>
    <mergeCell ref="B57:D61"/>
    <mergeCell ref="E60:F60"/>
    <mergeCell ref="H60:I60"/>
    <mergeCell ref="E61:F61"/>
    <mergeCell ref="H61:I61"/>
    <mergeCell ref="E57:F57"/>
    <mergeCell ref="H57:I57"/>
    <mergeCell ref="E58:F58"/>
    <mergeCell ref="H58:I58"/>
    <mergeCell ref="E59:F59"/>
    <mergeCell ref="H59:I59"/>
    <mergeCell ref="K9:M10"/>
    <mergeCell ref="E47:F47"/>
    <mergeCell ref="H47:I47"/>
    <mergeCell ref="B43:D43"/>
    <mergeCell ref="E43:F43"/>
    <mergeCell ref="H43:I43"/>
    <mergeCell ref="K43:L43"/>
    <mergeCell ref="B29:D29"/>
    <mergeCell ref="E29:F29"/>
    <mergeCell ref="H29:I29"/>
    <mergeCell ref="K29:L29"/>
    <mergeCell ref="E41:F41"/>
    <mergeCell ref="H41:I41"/>
    <mergeCell ref="H39:I39"/>
    <mergeCell ref="B39:F39"/>
    <mergeCell ref="B41:D41"/>
    <mergeCell ref="K41:L41"/>
    <mergeCell ref="B31:D31"/>
    <mergeCell ref="B33:D37"/>
    <mergeCell ref="E36:F36"/>
    <mergeCell ref="H36:I36"/>
    <mergeCell ref="E37:F37"/>
    <mergeCell ref="H37:I37"/>
    <mergeCell ref="K39:L39"/>
    <mergeCell ref="K15:L15"/>
    <mergeCell ref="K21:L21"/>
    <mergeCell ref="K22:L22"/>
    <mergeCell ref="K23:L23"/>
    <mergeCell ref="E21:F21"/>
    <mergeCell ref="H21:I21"/>
    <mergeCell ref="E22:F22"/>
    <mergeCell ref="H22:I22"/>
    <mergeCell ref="C9:F9"/>
    <mergeCell ref="C10:D10"/>
    <mergeCell ref="B15:F15"/>
    <mergeCell ref="K17:L17"/>
    <mergeCell ref="B19:D19"/>
    <mergeCell ref="E19:F19"/>
    <mergeCell ref="H19:I19"/>
    <mergeCell ref="K19:L19"/>
    <mergeCell ref="B17:D17"/>
    <mergeCell ref="E17:F17"/>
    <mergeCell ref="C11:D11"/>
    <mergeCell ref="C12:D12"/>
    <mergeCell ref="C13:D13"/>
    <mergeCell ref="H15:I15"/>
    <mergeCell ref="H17:I17"/>
    <mergeCell ref="K12:M13"/>
    <mergeCell ref="H24:I24"/>
    <mergeCell ref="H25:I25"/>
    <mergeCell ref="E24:F24"/>
    <mergeCell ref="E25:F25"/>
    <mergeCell ref="E33:F33"/>
    <mergeCell ref="H33:I33"/>
    <mergeCell ref="E31:F31"/>
    <mergeCell ref="H31:I31"/>
    <mergeCell ref="B27:F27"/>
    <mergeCell ref="H27:I27"/>
    <mergeCell ref="B21:D25"/>
    <mergeCell ref="E23:F23"/>
    <mergeCell ref="H23:I23"/>
    <mergeCell ref="B7:M7"/>
    <mergeCell ref="K61:L61"/>
    <mergeCell ref="K45:L45"/>
    <mergeCell ref="K46:L46"/>
    <mergeCell ref="K47:L47"/>
    <mergeCell ref="K48:L48"/>
    <mergeCell ref="K49:L49"/>
    <mergeCell ref="K24:L24"/>
    <mergeCell ref="K25:L25"/>
    <mergeCell ref="K33:L33"/>
    <mergeCell ref="K34:L34"/>
    <mergeCell ref="K35:L35"/>
    <mergeCell ref="K36:L36"/>
    <mergeCell ref="K37:L37"/>
    <mergeCell ref="K27:L27"/>
    <mergeCell ref="K51:L51"/>
    <mergeCell ref="K57:L57"/>
    <mergeCell ref="K58:L58"/>
    <mergeCell ref="K59:L59"/>
    <mergeCell ref="K60:L60"/>
    <mergeCell ref="E34:F34"/>
    <mergeCell ref="H34:I34"/>
    <mergeCell ref="E35:F35"/>
    <mergeCell ref="H35:I35"/>
  </mergeCells>
  <conditionalFormatting sqref="M17">
    <cfRule type="cellIs" dxfId="29" priority="39" operator="equal">
      <formula>"Sim"</formula>
    </cfRule>
    <cfRule type="cellIs" dxfId="28" priority="40" operator="equal">
      <formula>"Não"</formula>
    </cfRule>
  </conditionalFormatting>
  <conditionalFormatting sqref="M19">
    <cfRule type="cellIs" dxfId="27" priority="37" operator="equal">
      <formula>"Sim"</formula>
    </cfRule>
    <cfRule type="cellIs" dxfId="26" priority="38" operator="equal">
      <formula>"Não"</formula>
    </cfRule>
  </conditionalFormatting>
  <conditionalFormatting sqref="M21:M25">
    <cfRule type="cellIs" dxfId="25" priority="41" operator="equal">
      <formula>"Sim"</formula>
    </cfRule>
    <cfRule type="cellIs" dxfId="24" priority="42" operator="equal">
      <formula>"Não"</formula>
    </cfRule>
  </conditionalFormatting>
  <conditionalFormatting sqref="M29">
    <cfRule type="cellIs" dxfId="23" priority="33" operator="equal">
      <formula>"Sim"</formula>
    </cfRule>
    <cfRule type="cellIs" dxfId="22" priority="34" operator="equal">
      <formula>"Não"</formula>
    </cfRule>
  </conditionalFormatting>
  <conditionalFormatting sqref="M31">
    <cfRule type="cellIs" dxfId="21" priority="27" operator="equal">
      <formula>"Sim"</formula>
    </cfRule>
    <cfRule type="cellIs" dxfId="20" priority="28" operator="equal">
      <formula>"Não"</formula>
    </cfRule>
  </conditionalFormatting>
  <conditionalFormatting sqref="M33:M37">
    <cfRule type="cellIs" dxfId="19" priority="35" operator="equal">
      <formula>"Sim"</formula>
    </cfRule>
    <cfRule type="cellIs" dxfId="18" priority="36" operator="equal">
      <formula>"Não"</formula>
    </cfRule>
  </conditionalFormatting>
  <conditionalFormatting sqref="M41">
    <cfRule type="cellIs" dxfId="17" priority="23" operator="equal">
      <formula>"Sim"</formula>
    </cfRule>
    <cfRule type="cellIs" dxfId="16" priority="24" operator="equal">
      <formula>"Não"</formula>
    </cfRule>
  </conditionalFormatting>
  <conditionalFormatting sqref="M43">
    <cfRule type="cellIs" dxfId="15" priority="21" operator="equal">
      <formula>"Sim"</formula>
    </cfRule>
    <cfRule type="cellIs" dxfId="14" priority="22" operator="equal">
      <formula>"Não"</formula>
    </cfRule>
  </conditionalFormatting>
  <conditionalFormatting sqref="M45:M49">
    <cfRule type="cellIs" dxfId="13" priority="25" operator="equal">
      <formula>"Sim"</formula>
    </cfRule>
    <cfRule type="cellIs" dxfId="12" priority="26" operator="equal">
      <formula>"Não"</formula>
    </cfRule>
  </conditionalFormatting>
  <conditionalFormatting sqref="M53">
    <cfRule type="cellIs" dxfId="11" priority="29" operator="equal">
      <formula>"Sim"</formula>
    </cfRule>
    <cfRule type="cellIs" dxfId="10" priority="30" operator="equal">
      <formula>"Não"</formula>
    </cfRule>
  </conditionalFormatting>
  <conditionalFormatting sqref="M55">
    <cfRule type="cellIs" dxfId="9" priority="19" operator="equal">
      <formula>"Sim"</formula>
    </cfRule>
    <cfRule type="cellIs" dxfId="8" priority="20" operator="equal">
      <formula>"Não"</formula>
    </cfRule>
  </conditionalFormatting>
  <conditionalFormatting sqref="M57:M61">
    <cfRule type="cellIs" dxfId="7" priority="31" operator="equal">
      <formula>"Sim"</formula>
    </cfRule>
    <cfRule type="cellIs" dxfId="6" priority="32" operator="equal">
      <formula>"Não"</formula>
    </cfRule>
  </conditionalFormatting>
  <conditionalFormatting sqref="M65">
    <cfRule type="cellIs" dxfId="5" priority="5" operator="equal">
      <formula>"Sim"</formula>
    </cfRule>
    <cfRule type="cellIs" dxfId="4" priority="6" operator="equal">
      <formula>"Não"</formula>
    </cfRule>
  </conditionalFormatting>
  <conditionalFormatting sqref="M67">
    <cfRule type="cellIs" dxfId="3" priority="3" operator="equal">
      <formula>"Sim"</formula>
    </cfRule>
    <cfRule type="cellIs" dxfId="2" priority="4" operator="equal">
      <formula>"Não"</formula>
    </cfRule>
  </conditionalFormatting>
  <conditionalFormatting sqref="M69:M73">
    <cfRule type="cellIs" dxfId="1" priority="7" operator="equal">
      <formula>"Sim"</formula>
    </cfRule>
    <cfRule type="cellIs" dxfId="0" priority="8" operator="equal">
      <formula>"Não"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&amp;R_x000D_&amp;1#&amp;"Calibri"&amp;10&amp;K008000 [ CLASSIFICAÇÃO: PÚBLICA ]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8d4c9f-a0a5-45ac-b53d-191de04c774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E12F3070ED284488CB9813F9C9C8DD" ma:contentTypeVersion="12" ma:contentTypeDescription="Crie um novo documento." ma:contentTypeScope="" ma:versionID="d02e24f24d8c1d4ecb7a5344a091e892">
  <xsd:schema xmlns:xsd="http://www.w3.org/2001/XMLSchema" xmlns:xs="http://www.w3.org/2001/XMLSchema" xmlns:p="http://schemas.microsoft.com/office/2006/metadata/properties" xmlns:ns3="0d8d4c9f-a0a5-45ac-b53d-191de04c774d" xmlns:ns4="1ea93e49-97f0-4b05-bc8d-a7e2a06c361d" targetNamespace="http://schemas.microsoft.com/office/2006/metadata/properties" ma:root="true" ma:fieldsID="33220965fcbf3b5cd4f90da14bd203ad" ns3:_="" ns4:_="">
    <xsd:import namespace="0d8d4c9f-a0a5-45ac-b53d-191de04c774d"/>
    <xsd:import namespace="1ea93e49-97f0-4b05-bc8d-a7e2a06c36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d4c9f-a0a5-45ac-b53d-191de04c77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93e49-97f0-4b05-bc8d-a7e2a06c3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1A2709-42CA-4EE1-ADA9-CC97E99F0F46}">
  <ds:schemaRefs>
    <ds:schemaRef ds:uri="http://schemas.microsoft.com/office/2006/metadata/properties"/>
    <ds:schemaRef ds:uri="http://schemas.microsoft.com/office/infopath/2007/PartnerControls"/>
    <ds:schemaRef ds:uri="0d8d4c9f-a0a5-45ac-b53d-191de04c774d"/>
  </ds:schemaRefs>
</ds:datastoreItem>
</file>

<file path=customXml/itemProps2.xml><?xml version="1.0" encoding="utf-8"?>
<ds:datastoreItem xmlns:ds="http://schemas.openxmlformats.org/officeDocument/2006/customXml" ds:itemID="{754FF051-6EE2-4DD7-A07C-8431115F12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8d4c9f-a0a5-45ac-b53d-191de04c774d"/>
    <ds:schemaRef ds:uri="1ea93e49-97f0-4b05-bc8d-a7e2a06c3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65667C-8DBE-40E7-B54D-66106174BE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a9157b-bcf3-4eac-b03e-7cf007ba9fdf}" enabled="1" method="Privileged" siteId="{cf56e405-d2b0-4266-b210-aa04636b61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Processo</vt:lpstr>
      <vt:lpstr>0. Árvore de Alavancas</vt:lpstr>
      <vt:lpstr>1. Plano Comercial</vt:lpstr>
      <vt:lpstr>Resumo</vt:lpstr>
      <vt:lpstr>2. Planos de Ação</vt:lpstr>
      <vt:lpstr>3. Reunião 1-1 Acompanhamento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Vecchio</dc:creator>
  <cp:keywords/>
  <dc:description/>
  <cp:lastModifiedBy>thiago.afischer@gmail.com</cp:lastModifiedBy>
  <cp:revision/>
  <dcterms:created xsi:type="dcterms:W3CDTF">2022-03-14T18:56:48Z</dcterms:created>
  <dcterms:modified xsi:type="dcterms:W3CDTF">2026-05-23T15:38:36Z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0x0101003BE12F3070ED284488CB9813F9C9C8DD</vt:lpwstr>
  </property>
</Properties>
</file>